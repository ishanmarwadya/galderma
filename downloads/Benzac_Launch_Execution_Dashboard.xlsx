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d73530308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03091a8a5f4ee6"/>
    <x:sheet xmlns:r="http://schemas.openxmlformats.org/officeDocument/2006/relationships" name="Roadmap" sheetId="2" r:id="Ra339598226ec4bba"/>
    <x:sheet xmlns:r="http://schemas.openxmlformats.org/officeDocument/2006/relationships" name="KPI Tracker" sheetId="3" r:id="R8f53c1ed4f8d4111"/>
    <x:sheet xmlns:r="http://schemas.openxmlformats.org/officeDocument/2006/relationships" name="Budget" sheetId="4" r:id="R16d313f892724e74"/>
    <x:sheet xmlns:r="http://schemas.openxmlformats.org/officeDocument/2006/relationships" name="Risk Register" sheetId="5" r:id="R278281d8a6764385"/>
    <x:sheet xmlns:r="http://schemas.openxmlformats.org/officeDocument/2006/relationships" name="Channel Plan" sheetId="6" r:id="R64cdebd15e884dd6"/>
    <x:sheet xmlns:r="http://schemas.openxmlformats.org/officeDocument/2006/relationships" name="Sources" sheetId="7" r:id="R17fb2287f2a5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₹#,##0"/>
    <x:numFmt numFmtId="202" formatCode="0%"/>
    <x:numFmt numFmtId="203" formatCode="0&quot; Cr&quot;"/>
    <x:numFmt numFmtId="204" formatCode="0.0&quot; Cr&quot;"/>
  </x:numFmts>
  <x:fonts count="12">
    <x:font>
      <x:sz val="11"/>
      <x:name val="Carlito"/>
    </x:font>
    <x:font>
      <x:b/>
      <x:sz val="20"/>
      <x:color rgb="FFFFFFFF"/>
      <x:name val="Carlito"/>
    </x:font>
    <x:font>
      <x:b/>
      <x:sz val="10"/>
      <x:color rgb="FF6C2A8D"/>
      <x:name val="Carlito"/>
    </x:font>
    <x:font>
      <x:b/>
      <x:sz val="9"/>
      <x:color rgb="FFFFFFFF"/>
      <x:name val="Carlito"/>
    </x:font>
    <x:font>
      <x:sz val="9"/>
      <x:color rgb="FF20202A"/>
      <x:name val="Carlito"/>
    </x:font>
    <x:font>
      <x:sz val="9"/>
      <x:color rgb="FF0000FF"/>
      <x:name val="Carlito"/>
    </x:font>
    <x:font>
      <x:i/>
      <x:sz val="8"/>
      <x:color rgb="FF6D6A78"/>
      <x:name val="Carlito"/>
    </x:font>
    <x:font>
      <x:sz val="9"/>
      <x:color rgb="FF000000"/>
      <x:name val="Carlito"/>
    </x:font>
    <x:font>
      <x:b/>
      <x:sz val="10"/>
      <x:color rgb="FFFFFFFF"/>
      <x:name val="Carlito"/>
    </x:font>
    <x:font>
      <x:b/>
      <x:sz val="22"/>
      <x:color rgb="FF6C2A8D"/>
      <x:name val="Carlito"/>
    </x:font>
    <x:font>
      <x:b/>
      <x:sz val="11"/>
      <x:color rgb="FFFFFFFF"/>
      <x:name val="Carlito"/>
    </x:font>
    <x:font>
      <x:b/>
      <x:sz val="9"/>
      <x:color rgb="FF2720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7204D"/>
      </x:patternFill>
    </x:fill>
    <x:fill>
      <x:patternFill patternType="solid">
        <x:fgColor rgb="FFEFE5F5"/>
      </x:patternFill>
    </x:fill>
    <x:fill>
      <x:patternFill patternType="solid">
        <x:fgColor rgb="FF6C2A8D"/>
      </x:patternFill>
    </x:fill>
    <x:fill>
      <x:patternFill patternType="solid">
        <x:fgColor rgb="FFFFF2A8"/>
      </x:patternFill>
    </x:fill>
    <x:fill>
      <x:patternFill patternType="solid">
        <x:fgColor rgb="FFF8F5FA"/>
      </x:patternFill>
    </x:fill>
  </x:fills>
  <x:borders count="30">
    <x:border/>
    <x:border>
      <x:right style="thin">
        <x:color rgb="FFC9B8D2"/>
      </x:right>
    </x:border>
    <x:border>
      <x:left style="thin">
        <x:color rgb="FFC9B8D2"/>
      </x:left>
      <x:right style="thin">
        <x:color rgb="FFC9B8D2"/>
      </x:right>
    </x:border>
    <x:border>
      <x:left style="thin">
        <x:color rgb="FFC9B8D2"/>
      </x:left>
    </x:border>
    <x:border>
      <x:right style="thin">
        <x:color rgb="FFE2D9E7"/>
      </x:right>
      <x:bottom style="thin">
        <x:color rgb="FFE2D9E7"/>
      </x:bottom>
    </x:border>
    <x:border>
      <x:left style="thin">
        <x:color rgb="FFE2D9E7"/>
      </x:left>
      <x:right style="thin">
        <x:color rgb="FFE2D9E7"/>
      </x:right>
      <x:bottom style="thin">
        <x:color rgb="FFE2D9E7"/>
      </x:bottom>
    </x:border>
    <x:border>
      <x:left style="thin">
        <x:color rgb="FFE2D9E7"/>
      </x:left>
      <x:bottom style="thin">
        <x:color rgb="FFE2D9E7"/>
      </x:bottom>
    </x:border>
    <x:border>
      <x:right style="thin">
        <x:color rgb="FFE2D9E7"/>
      </x:right>
      <x:top style="thin">
        <x:color rgb="FFE2D9E7"/>
      </x:top>
      <x:bottom style="thin">
        <x:color rgb="FFE2D9E7"/>
      </x:bottom>
    </x:border>
    <x:border>
      <x:left style="thin">
        <x:color rgb="FFE2D9E7"/>
      </x:left>
      <x:right style="thin">
        <x:color rgb="FFE2D9E7"/>
      </x:right>
      <x:top style="thin">
        <x:color rgb="FFE2D9E7"/>
      </x:top>
      <x:bottom style="thin">
        <x:color rgb="FFE2D9E7"/>
      </x:bottom>
    </x:border>
    <x:border>
      <x:left style="thin">
        <x:color rgb="FFE2D9E7"/>
      </x:left>
      <x:top style="thin">
        <x:color rgb="FFE2D9E7"/>
      </x:top>
      <x:bottom style="thin">
        <x:color rgb="FFE2D9E7"/>
      </x:bottom>
    </x:border>
    <x:border>
      <x:right style="thin">
        <x:color rgb="FFE2D9E7"/>
      </x:right>
      <x:top style="thin">
        <x:color rgb="FFE2D9E7"/>
      </x:top>
    </x:border>
    <x:border>
      <x:left style="thin">
        <x:color rgb="FFE2D9E7"/>
      </x:left>
      <x:right style="thin">
        <x:color rgb="FFE2D9E7"/>
      </x:right>
      <x:top style="thin">
        <x:color rgb="FFE2D9E7"/>
      </x:top>
    </x:border>
    <x:border>
      <x:left style="thin">
        <x:color rgb="FFE2D9E7"/>
      </x:left>
      <x:top style="thin">
        <x:color rgb="FFE2D9E7"/>
      </x:top>
    </x:border>
    <x:border>
      <x:left style="thin">
        <x:color rgb="FFCBB876"/>
      </x:left>
      <x:right style="thin">
        <x:color rgb="FFE2D9E7"/>
      </x:right>
      <x:top style="thin">
        <x:color rgb="FFCBB876"/>
      </x:top>
      <x:bottom style="thin">
        <x:color rgb="FFE2D9E7"/>
      </x:bottom>
    </x:border>
    <x:border>
      <x:left style="thin">
        <x:color rgb="FFE2D9E7"/>
      </x:left>
      <x:right style="thin">
        <x:color rgb="FFCBB876"/>
      </x:right>
      <x:top style="thin">
        <x:color rgb="FFCBB876"/>
      </x:top>
      <x:bottom style="thin">
        <x:color rgb="FFE2D9E7"/>
      </x:bottom>
    </x:border>
    <x:border>
      <x:left style="thin">
        <x:color rgb="FFCBB876"/>
      </x:left>
      <x:right style="thin">
        <x:color rgb="FFE2D9E7"/>
      </x:right>
      <x:top style="thin">
        <x:color rgb="FFE2D9E7"/>
      </x:top>
      <x:bottom style="thin">
        <x:color rgb="FFE2D9E7"/>
      </x:bottom>
    </x:border>
    <x:border>
      <x:left style="thin">
        <x:color rgb="FFE2D9E7"/>
      </x:left>
      <x:right style="thin">
        <x:color rgb="FFCBB876"/>
      </x:right>
      <x:top style="thin">
        <x:color rgb="FFE2D9E7"/>
      </x:top>
      <x:bottom style="thin">
        <x:color rgb="FFE2D9E7"/>
      </x:bottom>
    </x:border>
    <x:border>
      <x:left style="thin">
        <x:color rgb="FFCBB876"/>
      </x:left>
      <x:right style="thin">
        <x:color rgb="FFE2D9E7"/>
      </x:right>
      <x:top style="thin">
        <x:color rgb="FFE2D9E7"/>
      </x:top>
      <x:bottom style="thin">
        <x:color rgb="FFCBB876"/>
      </x:bottom>
    </x:border>
    <x:border>
      <x:left style="thin">
        <x:color rgb="FFE2D9E7"/>
      </x:left>
      <x:right style="thin">
        <x:color rgb="FFCBB876"/>
      </x:right>
      <x:top style="thin">
        <x:color rgb="FFE2D9E7"/>
      </x:top>
      <x:bottom style="thin">
        <x:color rgb="FFCBB876"/>
      </x:bottom>
    </x:border>
    <x:border>
      <x:left style="thin">
        <x:color rgb="FFCBB876"/>
      </x:left>
      <x:right style="thin">
        <x:color rgb="FFCBB876"/>
      </x:right>
      <x:top style="thin">
        <x:color rgb="FFCBB876"/>
      </x:top>
      <x:bottom style="thin">
        <x:color rgb="FFE2D9E7"/>
      </x:bottom>
    </x:border>
    <x:border>
      <x:left style="thin">
        <x:color rgb="FFCBB876"/>
      </x:left>
      <x:right style="thin">
        <x:color rgb="FFCBB876"/>
      </x:right>
      <x:top style="thin">
        <x:color rgb="FFE2D9E7"/>
      </x:top>
      <x:bottom style="thin">
        <x:color rgb="FFE2D9E7"/>
      </x:bottom>
    </x:border>
    <x:border>
      <x:left style="thin">
        <x:color rgb="FFCBB876"/>
      </x:left>
      <x:right style="thin">
        <x:color rgb="FFCBB876"/>
      </x:right>
      <x:top style="thin">
        <x:color rgb="FFE2D9E7"/>
      </x:top>
      <x:bottom style="thin">
        <x:color rgb="FFCBB876"/>
      </x:bottom>
    </x:border>
    <x:border>
      <x:left style="thin">
        <x:color rgb="FFD6C8DF"/>
      </x:left>
      <x:top style="thin">
        <x:color rgb="FFD6C8DF"/>
      </x:top>
    </x:border>
    <x:border>
      <x:top style="thin">
        <x:color rgb="FFD6C8DF"/>
      </x:top>
    </x:border>
    <x:border>
      <x:right style="thin">
        <x:color rgb="FFD6C8DF"/>
      </x:right>
      <x:top style="thin">
        <x:color rgb="FFD6C8DF"/>
      </x:top>
    </x:border>
    <x:border>
      <x:left style="thin">
        <x:color rgb="FFD6C8DF"/>
      </x:left>
    </x:border>
    <x:border>
      <x:right style="thin">
        <x:color rgb="FFD6C8DF"/>
      </x:right>
    </x:border>
    <x:border>
      <x:left style="thin">
        <x:color rgb="FFD6C8DF"/>
      </x:left>
      <x:bottom style="thin">
        <x:color rgb="FFD6C8DF"/>
      </x:bottom>
    </x:border>
    <x:border>
      <x:bottom style="thin">
        <x:color rgb="FFD6C8DF"/>
      </x:bottom>
    </x:border>
    <x:border>
      <x:right style="thin">
        <x:color rgb="FFD6C8DF"/>
      </x:right>
      <x:bottom style="thin">
        <x:color rgb="FFD6C8DF"/>
      </x:bottom>
    </x:border>
  </x:borders>
  <x:cellStyleXfs count="1">
    <x:xf numFmtId="0" fontId="0" fillId="0" borderId="0"/>
  </x:cellStyleXfs>
  <x:cellXfs count="1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5" fillId="5" borderId="19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vertical="center" wrapText="1"/>
    </x:xf>
    <x:xf numFmtId="200" fontId="4" fillId="0" borderId="8" xfId="0" applyNumberFormat="1" applyFont="1" applyFill="1" applyBorder="1" applyAlignment="1">
      <x:alignment vertical="center" wrapText="1"/>
    </x:xf>
    <x:xf numFmtId="200" fontId="5" fillId="5" borderId="20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 wrapText="1"/>
    </x:xf>
    <x:xf numFmtId="200" fontId="4" fillId="0" borderId="11" xfId="0" applyNumberFormat="1" applyFont="1" applyFill="1" applyBorder="1" applyAlignment="1">
      <x:alignment vertical="center" wrapText="1"/>
    </x:xf>
    <x:xf numFmtId="200" fontId="5" fillId="5" borderId="21" xfId="0" applyNumberFormat="1" applyFont="1" applyFill="1" applyBorder="1" applyAlignment="1">
      <x:alignment vertical="center" wrapText="1"/>
    </x:xf>
    <x:xf numFmtId="200" fontId="7" fillId="0" borderId="11" xfId="0" applyNumberFormat="1" applyFont="1" applyFill="1" applyBorder="1" applyAlignment="1">
      <x:alignment vertical="center" wrapText="1"/>
    </x:xf>
    <x:xf numFmtId="201" fontId="4" fillId="0" borderId="8" xfId="0" applyNumberFormat="1" applyFont="1" applyFill="1" applyBorder="1" applyAlignment="1">
      <x:alignment vertical="center" wrapText="1"/>
    </x:xf>
    <x:xf numFmtId="201" fontId="5" fillId="5" borderId="20" xfId="0" applyNumberFormat="1" applyFont="1" applyFill="1" applyBorder="1" applyAlignment="1">
      <x:alignment vertical="center" wrapText="1"/>
    </x:xf>
    <x:xf numFmtId="201" fontId="7" fillId="0" borderId="8" xfId="0" applyNumberFormat="1" applyFont="1" applyFill="1" applyBorder="1" applyAlignment="1">
      <x:alignment vertical="center" wrapText="1"/>
    </x:xf>
    <x:xf numFmtId="201" fontId="5" fillId="5" borderId="13" xfId="0" applyNumberFormat="1" applyFont="1" applyFill="1" applyBorder="1" applyAlignment="1">
      <x:alignment vertical="center" wrapText="1"/>
    </x:xf>
    <x:xf numFmtId="201" fontId="5" fillId="5" borderId="14" xfId="0" applyNumberFormat="1" applyFont="1" applyFill="1" applyBorder="1" applyAlignment="1">
      <x:alignment vertical="center" wrapText="1"/>
    </x:xf>
    <x:xf numFmtId="201" fontId="5" fillId="5" borderId="15" xfId="0" applyNumberFormat="1" applyFont="1" applyFill="1" applyBorder="1" applyAlignment="1">
      <x:alignment vertical="center" wrapText="1"/>
    </x:xf>
    <x:xf numFmtId="201" fontId="5" fillId="5" borderId="16" xfId="0" applyNumberFormat="1" applyFont="1" applyFill="1" applyBorder="1" applyAlignment="1">
      <x:alignment vertical="center" wrapText="1"/>
    </x:xf>
    <x:xf numFmtId="201" fontId="5" fillId="5" borderId="17" xfId="0" applyNumberFormat="1" applyFont="1" applyFill="1" applyBorder="1" applyAlignment="1">
      <x:alignment vertical="center" wrapText="1"/>
    </x:xf>
    <x:xf numFmtId="201" fontId="5" fillId="5" borderId="18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1" fontId="7" fillId="0" borderId="5" xfId="0" applyNumberFormat="1" applyFont="1" applyFill="1" applyBorder="1" applyAlignment="1">
      <x:alignment vertical="center" wrapText="1"/>
    </x:xf>
    <x:xf numFmtId="201" fontId="7" fillId="0" borderId="11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2" borderId="0" xfId="0" applyNumberFormat="1" applyFont="1" applyFill="1" applyBorder="1" applyAlignment="1">
      <x:alignment vertical="center" wrapText="1"/>
    </x:xf>
    <x:xf numFmtId="200" fontId="7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201" fontId="8" fillId="2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2" fontId="5" fillId="5" borderId="19" xfId="0" applyNumberFormat="1" applyFont="1" applyFill="1" applyBorder="1" applyAlignment="1">
      <x:alignment vertical="center" wrapText="1"/>
    </x:xf>
    <x:xf numFmtId="202" fontId="5" fillId="5" borderId="20" xfId="0" applyNumberFormat="1" applyFont="1" applyFill="1" applyBorder="1" applyAlignment="1">
      <x:alignment vertical="center" wrapText="1"/>
    </x:xf>
    <x:xf numFmtId="202" fontId="5" fillId="5" borderId="21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22" xfId="0" applyNumberFormat="1" applyFont="1" applyFill="1" applyBorder="1"/>
    <x:xf numFmtId="0" fontId="9" fillId="6" borderId="23" xfId="0" applyNumberFormat="1" applyFont="1" applyFill="1" applyBorder="1"/>
    <x:xf numFmtId="0" fontId="9" fillId="6" borderId="24" xfId="0" applyNumberFormat="1" applyFont="1" applyFill="1" applyBorder="1"/>
    <x:xf numFmtId="0" fontId="9" fillId="6" borderId="25" xfId="0" applyNumberFormat="1" applyFont="1" applyFill="1" applyBorder="1"/>
    <x:xf numFmtId="0" fontId="9" fillId="6" borderId="26" xfId="0" applyNumberFormat="1" applyFont="1" applyFill="1" applyBorder="1"/>
    <x:xf numFmtId="0" fontId="9" fillId="6" borderId="27" xfId="0" applyNumberFormat="1" applyFont="1" applyFill="1" applyBorder="1"/>
    <x:xf numFmtId="0" fontId="9" fillId="6" borderId="28" xfId="0" applyNumberFormat="1" applyFont="1" applyFill="1" applyBorder="1"/>
    <x:xf numFmtId="0" fontId="9" fillId="6" borderId="29" xfId="0" applyNumberFormat="1" applyFont="1" applyFill="1" applyBorder="1"/>
    <x:xf numFmtId="0" fontId="9" fillId="6" borderId="22" xfId="0" applyNumberFormat="1" applyFont="1" applyFill="1" applyBorder="1" applyAlignment="1">
      <x:alignment horizontal="center"/>
    </x:xf>
    <x:xf numFmtId="0" fontId="9" fillId="6" borderId="23" xfId="0" applyNumberFormat="1" applyFont="1" applyFill="1" applyBorder="1" applyAlignment="1">
      <x:alignment horizontal="center"/>
    </x:xf>
    <x:xf numFmtId="0" fontId="9" fillId="6" borderId="24" xfId="0" applyNumberFormat="1" applyFont="1" applyFill="1" applyBorder="1" applyAlignment="1">
      <x:alignment horizontal="center"/>
    </x:xf>
    <x:xf numFmtId="0" fontId="9" fillId="6" borderId="25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/>
    </x:xf>
    <x:xf numFmtId="0" fontId="9" fillId="6" borderId="26" xfId="0" applyNumberFormat="1" applyFont="1" applyFill="1" applyBorder="1" applyAlignment="1">
      <x:alignment horizontal="center"/>
    </x:xf>
    <x:xf numFmtId="0" fontId="9" fillId="6" borderId="27" xfId="0" applyNumberFormat="1" applyFont="1" applyFill="1" applyBorder="1" applyAlignment="1">
      <x:alignment horizontal="center"/>
    </x:xf>
    <x:xf numFmtId="0" fontId="9" fillId="6" borderId="28" xfId="0" applyNumberFormat="1" applyFont="1" applyFill="1" applyBorder="1" applyAlignment="1">
      <x:alignment horizontal="center"/>
    </x:xf>
    <x:xf numFmtId="0" fontId="9" fillId="6" borderId="29" xfId="0" applyNumberFormat="1" applyFont="1" applyFill="1" applyBorder="1" applyAlignment="1">
      <x:alignment horizontal="center"/>
    </x:xf>
    <x:xf numFmtId="0" fontId="9" fillId="6" borderId="22" xfId="0" applyNumberFormat="1" applyFont="1" applyFill="1" applyBorder="1" applyAlignment="1">
      <x:alignment horizontal="center" vertical="center"/>
    </x:xf>
    <x:xf numFmtId="0" fontId="9" fillId="6" borderId="23" xfId="0" applyNumberFormat="1" applyFont="1" applyFill="1" applyBorder="1" applyAlignment="1">
      <x:alignment horizontal="center" vertical="center"/>
    </x:xf>
    <x:xf numFmtId="0" fontId="9" fillId="6" borderId="24" xfId="0" applyNumberFormat="1" applyFont="1" applyFill="1" applyBorder="1" applyAlignment="1">
      <x:alignment horizontal="center" vertical="center"/>
    </x:xf>
    <x:xf numFmtId="0" fontId="9" fillId="6" borderId="25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26" xfId="0" applyNumberFormat="1" applyFont="1" applyFill="1" applyBorder="1" applyAlignment="1">
      <x:alignment horizontal="center" vertical="center"/>
    </x:xf>
    <x:xf numFmtId="0" fontId="9" fillId="6" borderId="27" xfId="0" applyNumberFormat="1" applyFont="1" applyFill="1" applyBorder="1" applyAlignment="1">
      <x:alignment horizontal="center" vertical="center"/>
    </x:xf>
    <x:xf numFmtId="0" fontId="9" fillId="6" borderId="28" xfId="0" applyNumberFormat="1" applyFont="1" applyFill="1" applyBorder="1" applyAlignment="1">
      <x:alignment horizontal="center" vertical="center"/>
    </x:xf>
    <x:xf numFmtId="0" fontId="9" fillId="6" borderId="29" xfId="0" applyNumberFormat="1" applyFont="1" applyFill="1" applyBorder="1" applyAlignment="1">
      <x:alignment horizontal="center" vertical="center"/>
    </x:xf>
    <x:xf numFmtId="203" fontId="9" fillId="6" borderId="22" xfId="0" applyNumberFormat="1" applyFont="1" applyFill="1" applyBorder="1" applyAlignment="1">
      <x:alignment horizontal="center" vertical="center"/>
    </x:xf>
    <x:xf numFmtId="203" fontId="9" fillId="6" borderId="23" xfId="0" applyNumberFormat="1" applyFont="1" applyFill="1" applyBorder="1" applyAlignment="1">
      <x:alignment horizontal="center" vertical="center"/>
    </x:xf>
    <x:xf numFmtId="203" fontId="9" fillId="6" borderId="25" xfId="0" applyNumberFormat="1" applyFont="1" applyFill="1" applyBorder="1" applyAlignment="1">
      <x:alignment horizontal="center" vertical="center"/>
    </x:xf>
    <x:xf numFmtId="203" fontId="9" fillId="6" borderId="0" xfId="0" applyNumberFormat="1" applyFont="1" applyFill="1" applyBorder="1" applyAlignment="1">
      <x:alignment horizontal="center" vertical="center"/>
    </x:xf>
    <x:xf numFmtId="203" fontId="9" fillId="6" borderId="27" xfId="0" applyNumberFormat="1" applyFont="1" applyFill="1" applyBorder="1" applyAlignment="1">
      <x:alignment horizontal="center" vertical="center"/>
    </x:xf>
    <x:xf numFmtId="203" fontId="9" fillId="6" borderId="28" xfId="0" applyNumberFormat="1" applyFont="1" applyFill="1" applyBorder="1" applyAlignment="1">
      <x:alignment horizontal="center" vertical="center"/>
    </x:xf>
    <x:xf numFmtId="202" fontId="9" fillId="6" borderId="23" xfId="0" applyNumberFormat="1" applyFont="1" applyFill="1" applyBorder="1" applyAlignment="1">
      <x:alignment horizontal="center" vertical="center"/>
    </x:xf>
    <x:xf numFmtId="202" fontId="9" fillId="6" borderId="0" xfId="0" applyNumberFormat="1" applyFont="1" applyFill="1" applyBorder="1" applyAlignment="1">
      <x:alignment horizontal="center" vertical="center"/>
    </x:xf>
    <x:xf numFmtId="202" fontId="9" fillId="6" borderId="28" xfId="0" applyNumberFormat="1" applyFont="1" applyFill="1" applyBorder="1" applyAlignment="1">
      <x:alignment horizontal="center" vertical="center"/>
    </x:xf>
    <x:xf numFmtId="204" fontId="9" fillId="6" borderId="23" xfId="0" applyNumberFormat="1" applyFont="1" applyFill="1" applyBorder="1" applyAlignment="1">
      <x:alignment horizontal="center" vertical="center"/>
    </x:xf>
    <x:xf numFmtId="204" fontId="9" fillId="6" borderId="24" xfId="0" applyNumberFormat="1" applyFont="1" applyFill="1" applyBorder="1" applyAlignment="1">
      <x:alignment horizontal="center" vertical="center"/>
    </x:xf>
    <x:xf numFmtId="204" fontId="9" fillId="6" borderId="0" xfId="0" applyNumberFormat="1" applyFont="1" applyFill="1" applyBorder="1" applyAlignment="1">
      <x:alignment horizontal="center" vertical="center"/>
    </x:xf>
    <x:xf numFmtId="204" fontId="9" fillId="6" borderId="26" xfId="0" applyNumberFormat="1" applyFont="1" applyFill="1" applyBorder="1" applyAlignment="1">
      <x:alignment horizontal="center" vertical="center"/>
    </x:xf>
    <x:xf numFmtId="204" fontId="9" fillId="6" borderId="28" xfId="0" applyNumberFormat="1" applyFont="1" applyFill="1" applyBorder="1" applyAlignment="1">
      <x:alignment horizontal="center" vertical="center"/>
    </x:xf>
    <x:xf numFmtId="204" fontId="9" fillId="6" borderId="29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7">
    <x:dxf>
      <x:font>
        <x:b/>
        <x:color rgb="FF12622B"/>
      </x:font>
      <x:fill>
        <x:patternFill patternType="solid">
          <x:bgColor rgb="FFDDF4E4"/>
        </x:patternFill>
      </x:fill>
    </x:dxf>
    <x:dxf>
      <x:font>
        <x:b/>
        <x:color rgb="FF7A5A00"/>
      </x:font>
      <x:fill>
        <x:patternFill patternType="solid">
          <x:bgColor rgb="FFFFF2A8"/>
        </x:patternFill>
      </x:fill>
    </x:dxf>
    <x:dxf>
      <x:font>
        <x:b/>
        <x:color rgb="FF8B1A1A"/>
      </x:font>
      <x:fill>
        <x:patternFill patternType="solid">
          <x:bgColor rgb="FFFFE1E1"/>
        </x:patternFill>
      </x:fill>
    </x:dxf>
    <x:dxf>
      <x:font>
        <x:b/>
        <x:color rgb="FF12622B"/>
      </x:font>
      <x:fill>
        <x:patternFill patternType="solid">
          <x:bgColor rgb="FFDDF4E4"/>
        </x:patternFill>
      </x:fill>
    </x:dxf>
    <x:dxf>
      <x:font>
        <x:b/>
        <x:color rgb="FF8B1A1A"/>
      </x:font>
      <x:fill>
        <x:patternFill patternType="solid">
          <x:bgColor rgb="FFFFE1E1"/>
        </x:patternFill>
      </x:fill>
    </x:dxf>
    <x:dxf>
      <x:font>
        <x:b/>
        <x:color rgb="FF8B1A1A"/>
      </x:font>
      <x:fill>
        <x:patternFill patternType="solid">
          <x:bgColor rgb="FFFFE1E1"/>
        </x:patternFill>
      </x:fill>
    </x:dxf>
    <x:dxf>
      <x:font>
        <x:b/>
        <x:color rgb="FF12622B"/>
      </x:font>
      <x:fill>
        <x:patternFill patternType="solid">
          <x:bgColor rgb="FFDD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738a55e97443c" /><Relationship Type="http://schemas.openxmlformats.org/officeDocument/2006/relationships/theme" Target="/xl/theme/theme1.xml" Id="R37ee227ac7ba421d" /><Relationship Type="http://schemas.openxmlformats.org/officeDocument/2006/relationships/sharedStrings" Target="/xl/sharedStrings.xml" Id="R4fbadba01ec8487b" /><Relationship Type="http://schemas.openxmlformats.org/officeDocument/2006/relationships/worksheet" Target="/xl/worksheets/sheet1.xml" Id="R7803091a8a5f4ee6" /><Relationship Type="http://schemas.openxmlformats.org/officeDocument/2006/relationships/worksheet" Target="/xl/worksheets/sheet2.xml" Id="Ra339598226ec4bba" /><Relationship Type="http://schemas.openxmlformats.org/officeDocument/2006/relationships/worksheet" Target="/xl/worksheets/sheet3.xml" Id="R8f53c1ed4f8d4111" /><Relationship Type="http://schemas.openxmlformats.org/officeDocument/2006/relationships/worksheet" Target="/xl/worksheets/sheet4.xml" Id="R16d313f892724e74" /><Relationship Type="http://schemas.openxmlformats.org/officeDocument/2006/relationships/worksheet" Target="/xl/worksheets/sheet5.xml" Id="R278281d8a6764385" /><Relationship Type="http://schemas.openxmlformats.org/officeDocument/2006/relationships/worksheet" Target="/xl/worksheets/sheet6.xml" Id="R64cdebd15e884dd6" /><Relationship Type="http://schemas.openxmlformats.org/officeDocument/2006/relationships/worksheet" Target="/xl/worksheets/sheet7.xml" Id="R17fb2287f2a54e4a" /><Relationship Type="http://schemas.microsoft.com/office/2017/10/relationships/person" Target="/xl/persons/person.xml" Id="R2fba3d48ca784af8" /></Relationships>
</file>

<file path=xl/persons/person.xml><?xml version="1.0" encoding="utf-8"?>
<xltc:personList xmlns:xltc="http://schemas.microsoft.com/office/spreadsheetml/2018/threadedcomments">
  <xltc:person displayName="Ishan Marwadya" id="{6394E1DB-6896-4B0C-A177-770109DB3C85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3" t="str">
        <x:v>BENZAC FIRST FIX | LAUNCH COMMAND CENTRE</x:v>
      </x:c>
      <x:c r="B1" s="3" t="str">
        <x:v>BENZAC FIRST FIX | LAUNCH COMMAND CENTRE</x:v>
      </x:c>
      <x:c r="C1" s="3" t="str">
        <x:v>BENZAC FIRST FIX | LAUNCH COMMAND CENTRE</x:v>
      </x:c>
      <x:c r="D1" s="3" t="str">
        <x:v>BENZAC FIRST FIX | LAUNCH COMMAND CENTRE</x:v>
      </x:c>
      <x:c r="E1" s="3" t="str">
        <x:v>BENZAC FIRST FIX | LAUNCH COMMAND CENTRE</x:v>
      </x:c>
      <x:c r="F1" s="3" t="str">
        <x:v>BENZAC FIRST FIX | LAUNCH COMMAND CENTRE</x:v>
      </x:c>
      <x:c r="G1" s="3" t="str">
        <x:v>BENZAC FIRST FIX | LAUNCH COMMAND CENTRE</x:v>
      </x:c>
      <x:c r="H1" s="3" t="str">
        <x:v>BENZAC FIRST FIX | LAUNCH COMMAND CENTRE</x:v>
      </x:c>
    </x:row>
    <x:row r="2" ht="24" customHeight="1">
      <x:c r="A2" s="6" t="str">
        <x:v>A 24-month operating view with gates, owners, budgets and kill switches.</x:v>
      </x:c>
      <x:c r="B2" s="6" t="str">
        <x:v>A 24-month operating view with gates, owners, budgets and kill switches.</x:v>
      </x:c>
      <x:c r="C2" s="6" t="str">
        <x:v>A 24-month operating view with gates, owners, budgets and kill switches.</x:v>
      </x:c>
      <x:c r="D2" s="6" t="str">
        <x:v>A 24-month operating view with gates, owners, budgets and kill switches.</x:v>
      </x:c>
      <x:c r="E2" s="6" t="str">
        <x:v>A 24-month operating view with gates, owners, budgets and kill switches.</x:v>
      </x:c>
      <x:c r="F2" s="6" t="str">
        <x:v>A 24-month operating view with gates, owners, budgets and kill switches.</x:v>
      </x:c>
      <x:c r="G2" s="6" t="str">
        <x:v>A 24-month operating view with gates, owners, budgets and kill switches.</x:v>
      </x:c>
      <x:c r="H2" s="6" t="str">
        <x:v>A 24-month operating view with gates, owners, budgets and kill switches.</x:v>
      </x:c>
    </x:row>
    <x:row r="4" ht="30" customHeight="1">
      <x:c r="A4" s="15" t="str">
        <x:v>YEAR 1 OFFTAKE</x:v>
      </x:c>
      <x:c r="B4" s="17" t="str">
        <x:v>YEAR 1 OFFTAKE</x:v>
      </x:c>
      <x:c r="C4" s="15" t="str">
        <x:v>YEAR 2 OFFTAKE</x:v>
      </x:c>
      <x:c r="D4" s="17" t="str">
        <x:v>YEAR 2 OFFTAKE</x:v>
      </x:c>
      <x:c r="E4" s="15" t="str">
        <x:v>Y2 ROUTINE SHARE</x:v>
      </x:c>
      <x:c r="F4" s="17" t="str">
        <x:v>Y2 ROUTINE SHARE</x:v>
      </x:c>
      <x:c r="G4" s="15" t="str">
        <x:v>2-YEAR ACTIVATION</x:v>
      </x:c>
      <x:c r="H4" s="17" t="str">
        <x:v>2-YEAR ACTIVATION</x:v>
      </x:c>
    </x:row>
    <x:row r="5">
      <x:c r="A5" s="127" t="n">
        <x:v>18</x:v>
      </x:c>
      <x:c r="B5" s="128" t="n">
        <x:v>18</x:v>
      </x:c>
      <x:c r="C5" s="128" t="n">
        <x:v>52</x:v>
      </x:c>
      <x:c r="D5" s="128" t="n">
        <x:v>52</x:v>
      </x:c>
      <x:c r="E5" s="133" t="n">
        <x:v>0.18</x:v>
      </x:c>
      <x:c r="F5" s="133" t="n">
        <x:v>0.18</x:v>
      </x:c>
      <x:c r="G5" s="136" t="n">
        <x:f>'Budget'!D11/10000000</x:f>
        <x:v>12.4</x:v>
      </x:c>
      <x:c r="H5" s="137"/>
    </x:row>
    <x:row r="6">
      <x:c r="A6" s="129" t="n">
        <x:v>18</x:v>
      </x:c>
      <x:c r="B6" s="130" t="n">
        <x:v>18</x:v>
      </x:c>
      <x:c r="C6" s="130" t="n">
        <x:v>52</x:v>
      </x:c>
      <x:c r="D6" s="130" t="n">
        <x:v>52</x:v>
      </x:c>
      <x:c r="E6" s="134" t="n">
        <x:v>0.18</x:v>
      </x:c>
      <x:c r="F6" s="134" t="n">
        <x:v>0.18</x:v>
      </x:c>
      <x:c r="G6" s="138"/>
      <x:c r="H6" s="139"/>
    </x:row>
    <x:row r="7">
      <x:c r="A7" s="131" t="n">
        <x:v>18</x:v>
      </x:c>
      <x:c r="B7" s="132" t="n">
        <x:v>18</x:v>
      </x:c>
      <x:c r="C7" s="132" t="n">
        <x:v>52</x:v>
      </x:c>
      <x:c r="D7" s="132" t="n">
        <x:v>52</x:v>
      </x:c>
      <x:c r="E7" s="135" t="n">
        <x:v>0.18</x:v>
      </x:c>
      <x:c r="F7" s="135" t="n">
        <x:v>0.18</x:v>
      </x:c>
      <x:c r="G7" s="140"/>
      <x:c r="H7" s="141"/>
    </x:row>
    <x:row r="10" ht="24" customHeight="1">
      <x:c r="A10" s="142" t="str">
        <x:v>PHASE STATUS</x:v>
      </x:c>
      <x:c r="B10" s="142" t="str">
        <x:v>PHASE STATUS</x:v>
      </x:c>
      <x:c r="C10" s="142" t="str">
        <x:v>PHASE STATUS</x:v>
      </x:c>
      <x:c r="D10" s="142" t="str">
        <x:v>PHASE STATUS</x:v>
      </x:c>
      <x:c r="E10" s="142" t="str">
        <x:v>DECISION GATES</x:v>
      </x:c>
      <x:c r="F10" s="142" t="str">
        <x:v>DECISION GATES</x:v>
      </x:c>
      <x:c r="G10" s="142" t="str">
        <x:v>DECISION GATES</x:v>
      </x:c>
      <x:c r="H10" s="142" t="str">
        <x:v>DECISION GATES</x:v>
      </x:c>
    </x:row>
    <x:row r="11" ht="30" customHeight="1">
      <x:c r="A11" s="15" t="str">
        <x:v>Phase</x:v>
      </x:c>
      <x:c r="B11" s="16" t="str">
        <x:v>Timing</x:v>
      </x:c>
      <x:c r="C11" s="17" t="str">
        <x:v>Status</x:v>
      </x:c>
      <x:c r="E11" s="15" t="str">
        <x:v>Gate</x:v>
      </x:c>
      <x:c r="F11" s="16" t="str">
        <x:v>Target</x:v>
      </x:c>
      <x:c r="G11" s="16" t="str">
        <x:v>Actual</x:v>
      </x:c>
      <x:c r="H11" s="17" t="str">
        <x:v>Status</x:v>
      </x:c>
    </x:row>
    <x:row r="12">
      <x:c r="A12" s="37" t="str">
        <x:v>Validate</x:v>
      </x:c>
      <x:c r="B12" s="38" t="str">
        <x:v>M0-3</x:v>
      </x:c>
      <x:c r="C12" s="39" t="str">
        <x:v>Pending</x:v>
      </x:c>
      <x:c r="E12" s="37" t="str">
        <x:v>Correct-use comprehension</x:v>
      </x:c>
      <x:c r="F12" s="38" t="str">
        <x:v>≥70%</x:v>
      </x:c>
      <x:c r="G12" s="52" t="str"/>
      <x:c r="H12" s="53" t="str">
        <x:v>Pending</x:v>
      </x:c>
    </x:row>
    <x:row r="13">
      <x:c r="A13" s="40" t="str">
        <x:v>Seed</x:v>
      </x:c>
      <x:c r="B13" s="41" t="str">
        <x:v>M4-8</x:v>
      </x:c>
      <x:c r="C13" s="42" t="str">
        <x:v>Pending</x:v>
      </x:c>
      <x:c r="E13" s="40" t="str">
        <x:v>Adhesion gap</x:v>
      </x:c>
      <x:c r="F13" s="41" t="str">
        <x:v>≤10%</x:v>
      </x:c>
      <x:c r="G13" s="54" t="str"/>
      <x:c r="H13" s="55" t="str">
        <x:v>Pending</x:v>
      </x:c>
    </x:row>
    <x:row r="14">
      <x:c r="A14" s="40" t="str">
        <x:v>Prove</x:v>
      </x:c>
      <x:c r="B14" s="41" t="str">
        <x:v>M9-12</x:v>
      </x:c>
      <x:c r="C14" s="42" t="str">
        <x:v>Pending</x:v>
      </x:c>
      <x:c r="E14" s="40" t="str">
        <x:v>Cost per trial</x:v>
      </x:c>
      <x:c r="F14" s="41" t="str">
        <x:v>&lt;₹100</x:v>
      </x:c>
      <x:c r="G14" s="54" t="str"/>
      <x:c r="H14" s="55" t="str">
        <x:v>Pending</x:v>
      </x:c>
    </x:row>
    <x:row r="15">
      <x:c r="A15" s="40" t="str">
        <x:v>Scale</x:v>
      </x:c>
      <x:c r="B15" s="41" t="str">
        <x:v>M13-18</x:v>
      </x:c>
      <x:c r="C15" s="42" t="str">
        <x:v>Pending</x:v>
      </x:c>
      <x:c r="E15" s="40" t="str">
        <x:v>Routine conversion M12</x:v>
      </x:c>
      <x:c r="F15" s="41" t="str">
        <x:v>≥15%</x:v>
      </x:c>
      <x:c r="G15" s="54" t="str"/>
      <x:c r="H15" s="55" t="str">
        <x:v>Pending</x:v>
      </x:c>
    </x:row>
    <x:row r="16">
      <x:c r="A16" s="43" t="str">
        <x:v>Compound</x:v>
      </x:c>
      <x:c r="B16" s="44" t="str">
        <x:v>M19-24</x:v>
      </x:c>
      <x:c r="C16" s="45" t="str">
        <x:v>Pending</x:v>
      </x:c>
      <x:c r="E16" s="43" t="str">
        <x:v>90-day repeat</x:v>
      </x:c>
      <x:c r="F16" s="44" t="str">
        <x:v>≥30%</x:v>
      </x:c>
      <x:c r="G16" s="56" t="str"/>
      <x:c r="H16" s="57" t="str">
        <x:v>Pending</x:v>
      </x:c>
    </x:row>
    <x:row r="19" ht="38" customHeight="1">
      <x:c r="A19" s="151" t="str">
        <x:v>KILL SWITCH: NO NATIONAL SCALE UNTIL CLAIM, ADHESION, PARENT PERMISSION AND ≥15% ROUTINE CONVERSION CLEAR THE PILOT.</x:v>
      </x:c>
      <x:c r="B19" s="151" t="str">
        <x:v>KILL SWITCH: NO NATIONAL SCALE UNTIL CLAIM, ADHESION, PARENT PERMISSION AND ≥15% ROUTINE CONVERSION CLEAR THE PILOT.</x:v>
      </x:c>
      <x:c r="C19" s="151" t="str">
        <x:v>KILL SWITCH: NO NATIONAL SCALE UNTIL CLAIM, ADHESION, PARENT PERMISSION AND ≥15% ROUTINE CONVERSION CLEAR THE PILOT.</x:v>
      </x:c>
      <x:c r="D19" s="151" t="str">
        <x:v>KILL SWITCH: NO NATIONAL SCALE UNTIL CLAIM, ADHESION, PARENT PERMISSION AND ≥15% ROUTINE CONVERSION CLEAR THE PILOT.</x:v>
      </x:c>
      <x:c r="E19" s="151" t="str">
        <x:v>KILL SWITCH: NO NATIONAL SCALE UNTIL CLAIM, ADHESION, PARENT PERMISSION AND ≥15% ROUTINE CONVERSION CLEAR THE PILOT.</x:v>
      </x:c>
      <x:c r="F19" s="151" t="str">
        <x:v>KILL SWITCH: NO NATIONAL SCALE UNTIL CLAIM, ADHESION, PARENT PERMISSION AND ≥15% ROUTINE CONVERSION CLEAR THE PILOT.</x:v>
      </x:c>
      <x:c r="G19" s="151" t="str">
        <x:v>KILL SWITCH: NO NATIONAL SCALE UNTIL CLAIM, ADHESION, PARENT PERMISSION AND ≥15% ROUTINE CONVERSION CLEAR THE PILOT.</x:v>
      </x:c>
      <x:c r="H19" s="151" t="str">
        <x:v>KILL SWITCH: NO NATIONAL SCALE UNTIL CLAIM, ADHESION, PARENT PERMISSION AND ≥15% ROUTINE CONVERSION CLEAR THE PILOT.</x:v>
      </x:c>
    </x:row>
    <x:row r="22" ht="40" customHeight="1">
      <x:c r="A22" s="155" t="str">
        <x:v>OWNERSHIP: Product - R&amp;D/Regulatory | Demand - Brand/Insights | Commerce - KAM/Trade/Sales | Trust - Medical/CSR | Governance - Brand Director/Finance/DPO/Legal</x:v>
      </x:c>
      <x:c r="B22" s="155" t="str">
        <x:v>OWNERSHIP: Product - R&amp;D/Regulatory | Demand - Brand/Insights | Commerce - KAM/Trade/Sales | Trust - Medical/CSR | Governance - Brand Director/Finance/DPO/Legal</x:v>
      </x:c>
      <x:c r="C22" s="155" t="str">
        <x:v>OWNERSHIP: Product - R&amp;D/Regulatory | Demand - Brand/Insights | Commerce - KAM/Trade/Sales | Trust - Medical/CSR | Governance - Brand Director/Finance/DPO/Legal</x:v>
      </x:c>
      <x:c r="D22" s="155" t="str">
        <x:v>OWNERSHIP: Product - R&amp;D/Regulatory | Demand - Brand/Insights | Commerce - KAM/Trade/Sales | Trust - Medical/CSR | Governance - Brand Director/Finance/DPO/Legal</x:v>
      </x:c>
      <x:c r="E22" s="155" t="str">
        <x:v>OWNERSHIP: Product - R&amp;D/Regulatory | Demand - Brand/Insights | Commerce - KAM/Trade/Sales | Trust - Medical/CSR | Governance - Brand Director/Finance/DPO/Legal</x:v>
      </x:c>
      <x:c r="F22" s="155" t="str">
        <x:v>OWNERSHIP: Product - R&amp;D/Regulatory | Demand - Brand/Insights | Commerce - KAM/Trade/Sales | Trust - Medical/CSR | Governance - Brand Director/Finance/DPO/Legal</x:v>
      </x:c>
      <x:c r="G22" s="155" t="str">
        <x:v>OWNERSHIP: Product - R&amp;D/Regulatory | Demand - Brand/Insights | Commerce - KAM/Trade/Sales | Trust - Medical/CSR | Governance - Brand Director/Finance/DPO/Legal</x:v>
      </x:c>
      <x:c r="H22" s="155" t="str">
        <x:v>OWNERSHIP: Product - R&amp;D/Regulatory | Demand - Brand/Insights | Commerce - KAM/Trade/Sales | Trust - Medical/CSR | Governance - Brand Director/Finance/DPO/Legal</x:v>
      </x:c>
    </x:row>
    <x:row r="25">
      <x:c r="A25" s="60" t="str">
        <x:v>Lifeless Strategists | Galderma case concept | Model date: 06 Sep 2026 | Blue = input | Green = linked formula | Black = calculation</x:v>
      </x:c>
      <x:c r="B25" s="60" t="str">
        <x:v>Lifeless Strategists | Galderma case concept | Model date: 06 Sep 2026 | Blue = input | Green = linked formula | Black = calculation</x:v>
      </x:c>
      <x:c r="C25" s="60" t="str">
        <x:v>Lifeless Strategists | Galderma case concept | Model date: 06 Sep 2026 | Blue = input | Green = linked formula | Black = calculation</x:v>
      </x:c>
      <x:c r="D25" s="60" t="str">
        <x:v>Lifeless Strategists | Galderma case concept | Model date: 06 Sep 2026 | Blue = input | Green = linked formula | Black = calculation</x:v>
      </x:c>
      <x:c r="E25" s="60" t="str">
        <x:v>Lifeless Strategists | Galderma case concept | Model date: 06 Sep 2026 | Blue = input | Green = linked formula | Black = calculation</x:v>
      </x:c>
      <x:c r="F25" s="60" t="str">
        <x:v>Lifeless Strategists | Galderma case concept | Model date: 06 Sep 2026 | Blue = input | Green = linked formula | Black = calculation</x:v>
      </x:c>
      <x:c r="G25" s="60" t="str">
        <x:v>Lifeless Strategists | Galderma case concept | Model date: 06 Sep 2026 | Blue = input | Green = linked formula | Black = calculation</x:v>
      </x:c>
      <x:c r="H25" s="60" t="str">
        <x:v>Lifeless Strategists | Galderma case concept | Model date: 06 Sep 2026 | Blue = input | Green = linked formula | Black = calculation</x:v>
      </x:c>
    </x:row>
  </x:sheetData>
  <x:mergeCells>
    <x:mergeCell ref="A1:H1"/>
    <x:mergeCell ref="A2:H2"/>
    <x:mergeCell ref="A4:B4"/>
    <x:mergeCell ref="C4:D4"/>
    <x:mergeCell ref="E4:F4"/>
    <x:mergeCell ref="G4:H4"/>
    <x:mergeCell ref="A5:B7"/>
    <x:mergeCell ref="C5:D7"/>
    <x:mergeCell ref="E5:F7"/>
    <x:mergeCell ref="G5:H7"/>
    <x:mergeCell ref="A10:D10"/>
    <x:mergeCell ref="E10:H10"/>
    <x:mergeCell ref="A19:H19"/>
    <x:mergeCell ref="A22:H22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1" hidden="0" customWidth="1"/>
    <x:col min="3" max="3" width="21" hidden="0" customWidth="1"/>
    <x:col min="4" max="4" width="42" hidden="0" customWidth="1"/>
    <x:col min="5" max="5" width="27" hidden="0" customWidth="1"/>
    <x:col min="6" max="6" width="33" hidden="0" customWidth="1"/>
    <x:col min="7" max="7" width="18" hidden="0" customWidth="1"/>
    <x:col min="8" max="8" width="15" hidden="0" customWidth="1"/>
    <x:col min="9" max="9" width="28" hidden="0" customWidth="1"/>
    <x:col min="10" max="10" width="34" hidden="0" customWidth="1"/>
  </x:cols>
  <x:sheetData>
    <x:row r="1" ht="34" customHeight="1">
      <x:c r="A1" s="3" t="str">
        <x:v>BENZAC FIRST FIX | 24-MONTH ROADMAP</x:v>
      </x:c>
      <x:c r="B1" s="3" t="str">
        <x:v>BENZAC FIRST FIX | 24-MONTH ROADMAP</x:v>
      </x:c>
      <x:c r="C1" s="3" t="str">
        <x:v>BENZAC FIRST FIX | 24-MONTH ROADMAP</x:v>
      </x:c>
      <x:c r="D1" s="3" t="str">
        <x:v>BENZAC FIRST FIX | 24-MONTH ROADMAP</x:v>
      </x:c>
      <x:c r="E1" s="3" t="str">
        <x:v>BENZAC FIRST FIX | 24-MONTH ROADMAP</x:v>
      </x:c>
      <x:c r="F1" s="3" t="str">
        <x:v>BENZAC FIRST FIX | 24-MONTH ROADMAP</x:v>
      </x:c>
      <x:c r="G1" s="3" t="str">
        <x:v>BENZAC FIRST FIX | 24-MONTH ROADMAP</x:v>
      </x:c>
      <x:c r="H1" s="3" t="str">
        <x:v>BENZAC FIRST FIX | 24-MONTH ROADMAP</x:v>
      </x:c>
      <x:c r="I1" s="3" t="str">
        <x:v>BENZAC FIRST FIX | 24-MONTH ROADMAP</x:v>
      </x:c>
      <x:c r="J1" s="3" t="str">
        <x:v>BENZAC FIRST FIX | 24-MONTH ROADMAP</x:v>
      </x:c>
    </x:row>
    <x:row r="2" ht="24" customHeight="1">
      <x:c r="A2" s="6" t="str">
        <x:v>Scale only after pack, claim, parent permission and routine conversion work together.</x:v>
      </x:c>
      <x:c r="B2" s="6" t="str">
        <x:v>Scale only after pack, claim, parent permission and routine conversion work together.</x:v>
      </x:c>
      <x:c r="C2" s="6" t="str">
        <x:v>Scale only after pack, claim, parent permission and routine conversion work together.</x:v>
      </x:c>
      <x:c r="D2" s="6" t="str">
        <x:v>Scale only after pack, claim, parent permission and routine conversion work together.</x:v>
      </x:c>
      <x:c r="E2" s="6" t="str">
        <x:v>Scale only after pack, claim, parent permission and routine conversion work together.</x:v>
      </x:c>
      <x:c r="F2" s="6" t="str">
        <x:v>Scale only after pack, claim, parent permission and routine conversion work together.</x:v>
      </x:c>
      <x:c r="G2" s="6" t="str">
        <x:v>Scale only after pack, claim, parent permission and routine conversion work together.</x:v>
      </x:c>
      <x:c r="H2" s="6" t="str">
        <x:v>Scale only after pack, claim, parent permission and routine conversion work together.</x:v>
      </x:c>
      <x:c r="I2" s="6" t="str">
        <x:v>Scale only after pack, claim, parent permission and routine conversion work together.</x:v>
      </x:c>
      <x:c r="J2" s="6" t="str">
        <x:v>Scale only after pack, claim, parent permission and routine conversion work together.</x:v>
      </x:c>
    </x:row>
    <x:row r="4" ht="30" customHeight="1">
      <x:c r="A4" s="15" t="str">
        <x:v>Phase</x:v>
      </x:c>
      <x:c r="B4" s="16" t="str">
        <x:v>Timing</x:v>
      </x:c>
      <x:c r="C4" s="16" t="str">
        <x:v>Objective</x:v>
      </x:c>
      <x:c r="D4" s="16" t="str">
        <x:v>Core actions</x:v>
      </x:c>
      <x:c r="E4" s="16" t="str">
        <x:v>Owner</x:v>
      </x:c>
      <x:c r="F4" s="16" t="str">
        <x:v>Gate / target</x:v>
      </x:c>
      <x:c r="G4" s="16" t="str">
        <x:v>Actual</x:v>
      </x:c>
      <x:c r="H4" s="16" t="str">
        <x:v>Status</x:v>
      </x:c>
      <x:c r="I4" s="16" t="str">
        <x:v>Decision</x:v>
      </x:c>
      <x:c r="J4" s="17" t="str">
        <x:v>Evidence required</x:v>
      </x:c>
    </x:row>
    <x:row r="5">
      <x:c r="A5" s="37" t="str">
        <x:v>0 | Validate</x:v>
      </x:c>
      <x:c r="B5" s="38" t="str">
        <x:v>M0-3</x:v>
      </x:c>
      <x:c r="C5" s="38" t="str">
        <x:v>De-risk proposition</x:v>
      </x:c>
      <x:c r="D5" s="38" t="str">
        <x:v>Local claim/pack review; adhesion equivalence; privacy review; parent concept check</x:v>
      </x:c>
      <x:c r="E5" s="38" t="str">
        <x:v>Medical + Regulatory + R&amp;D</x:v>
      </x:c>
      <x:c r="F5" s="38" t="str">
        <x:v>≥70% comprehension; no &gt;10% adhesion loss</x:v>
      </x:c>
      <x:c r="G5" s="52" t="str"/>
      <x:c r="H5" s="53" t="str">
        <x:v>Pending</x:v>
      </x:c>
      <x:c r="I5" s="38" t="str">
        <x:v>Proceed only if all gates clear</x:v>
      </x:c>
      <x:c r="J5" s="39" t="str">
        <x:v>R&amp;D, medical, privacy sign-off</x:v>
      </x:c>
    </x:row>
    <x:row r="6">
      <x:c r="A6" s="40" t="str">
        <x:v>1 | Seed</x:v>
      </x:c>
      <x:c r="B6" s="41" t="str">
        <x:v>M4-8</x:v>
      </x:c>
      <x:c r="C6" s="41" t="str">
        <x:v>Launch six metros</x:v>
      </x:c>
      <x:c r="D6" s="41" t="str">
        <x:v>E/q-commerce + priority pharmacy; 2,500 derms; contextual launch</x:v>
      </x:c>
      <x:c r="E6" s="41" t="str">
        <x:v>Brand + Sales + Medical</x:v>
      </x:c>
      <x:c r="F6" s="41" t="str">
        <x:v>₹6 Cr; 1.5 lakh triers; CPT &lt;₹100</x:v>
      </x:c>
      <x:c r="G6" s="54" t="str"/>
      <x:c r="H6" s="55" t="str">
        <x:v>Pending</x:v>
      </x:c>
      <x:c r="I6" s="41" t="str">
        <x:v>Shift spend to winning cities</x:v>
      </x:c>
      <x:c r="J6" s="42" t="str">
        <x:v>Sell-out, triers, CPT dashboard</x:v>
      </x:c>
    </x:row>
    <x:row r="7">
      <x:c r="A7" s="40" t="str">
        <x:v>2 | Prove</x:v>
      </x:c>
      <x:c r="B7" s="41" t="str">
        <x:v>M9-12</x:v>
      </x:c>
      <x:c r="C7" s="41" t="str">
        <x:v>Validate repeat engine</x:v>
      </x:c>
      <x:c r="D7" s="41" t="str">
        <x:v>12,000 dispensers; parent support; cleanser bundle</x:v>
      </x:c>
      <x:c r="E7" s="41" t="str">
        <x:v>Brand + KAM + Trade</x:v>
      </x:c>
      <x:c r="F7" s="41" t="str">
        <x:v>₹18 Cr annualized; ≥15% routine conversion</x:v>
      </x:c>
      <x:c r="G7" s="54" t="str"/>
      <x:c r="H7" s="55" t="str">
        <x:v>Pending</x:v>
      </x:c>
      <x:c r="I7" s="41" t="str">
        <x:v>Hold scale if conversion misses</x:v>
      </x:c>
      <x:c r="J7" s="42" t="str">
        <x:v>Cohort conversion and repeat</x:v>
      </x:c>
    </x:row>
    <x:row r="8">
      <x:c r="A8" s="40" t="str">
        <x:v>3 | Scale</x:v>
      </x:c>
      <x:c r="B8" s="41" t="str">
        <x:v>M13-18</x:v>
      </x:c>
      <x:c r="C8" s="41" t="str">
        <x:v>Expand channels and cities</x:v>
      </x:c>
      <x:c r="D8" s="41" t="str">
        <x:v>Bar into MT/selected GT; 600 schools; Tier 1/2 expansion</x:v>
      </x:c>
      <x:c r="E8" s="41" t="str">
        <x:v>Sales + Trade + CSR</x:v>
      </x:c>
      <x:c r="F8" s="41" t="str">
        <x:v>22% numeric distribution; ≥30% repeat</x:v>
      </x:c>
      <x:c r="G8" s="54" t="str"/>
      <x:c r="H8" s="55" t="str">
        <x:v>Pending</x:v>
      </x:c>
      <x:c r="I8" s="41" t="str">
        <x:v>Expand only proven cells</x:v>
      </x:c>
      <x:c r="J8" s="42" t="str">
        <x:v>Distribution, repeat, program audit</x:v>
      </x:c>
    </x:row>
    <x:row r="9">
      <x:c r="A9" s="43" t="str">
        <x:v>4 | Compound</x:v>
      </x:c>
      <x:c r="B9" s="44" t="str">
        <x:v>M19-24</x:v>
      </x:c>
      <x:c r="C9" s="44" t="str">
        <x:v>Build national system</x:v>
      </x:c>
      <x:c r="D9" s="44" t="str">
        <x:v>Cleanser mainline; 1,200 schools; 45,000 chemists</x:v>
      </x:c>
      <x:c r="E9" s="44" t="str">
        <x:v>Business Lead + Functions</x:v>
      </x:c>
      <x:c r="F9" s="44" t="str">
        <x:v>₹52 Cr; 18% routine; 30% awareness</x:v>
      </x:c>
      <x:c r="G9" s="56" t="str"/>
      <x:c r="H9" s="57" t="str">
        <x:v>Pending</x:v>
      </x:c>
      <x:c r="I9" s="44" t="str">
        <x:v>Prepare Year 3 reach plan</x:v>
      </x:c>
      <x:c r="J9" s="45" t="str">
        <x:v>Full scorecard and finance review</x:v>
      </x:c>
    </x:row>
    <x:row r="13">
      <x:c r="A13" s="60" t="str">
        <x:v>Lifeless Strategists | Galderma case concept | Model date: 06 Sep 2026 | Blue = input | Green = linked formula | Black = calculation</x:v>
      </x:c>
      <x:c r="B13" s="60" t="str">
        <x:v>Lifeless Strategists | Galderma case concept | Model date: 06 Sep 2026 | Blue = input | Green = linked formula | Black = calculation</x:v>
      </x:c>
      <x:c r="C13" s="60" t="str">
        <x:v>Lifeless Strategists | Galderma case concept | Model date: 06 Sep 2026 | Blue = input | Green = linked formula | Black = calculation</x:v>
      </x:c>
      <x:c r="D13" s="60" t="str">
        <x:v>Lifeless Strategists | Galderma case concept | Model date: 06 Sep 2026 | Blue = input | Green = linked formula | Black = calculation</x:v>
      </x:c>
      <x:c r="E13" s="60" t="str">
        <x:v>Lifeless Strategists | Galderma case concept | Model date: 06 Sep 2026 | Blue = input | Green = linked formula | Black = calculation</x:v>
      </x:c>
      <x:c r="F13" s="60" t="str">
        <x:v>Lifeless Strategists | Galderma case concept | Model date: 06 Sep 2026 | Blue = input | Green = linked formula | Black = calculation</x:v>
      </x:c>
      <x:c r="G13" s="60" t="str">
        <x:v>Lifeless Strategists | Galderma case concept | Model date: 06 Sep 2026 | Blue = input | Green = linked formula | Black = calculation</x:v>
      </x:c>
      <x:c r="H13" s="60" t="str">
        <x:v>Lifeless Strategists | Galderma case concept | Model date: 06 Sep 2026 | Blue = input | Green = linked formula | Black = calculation</x:v>
      </x:c>
      <x:c r="I13" s="60" t="str">
        <x:v>Lifeless Strategists | Galderma case concept | Model date: 06 Sep 2026 | Blue = input | Green = linked formula | Black = calculation</x:v>
      </x:c>
      <x:c r="J13" s="60" t="str">
        <x:v>Lifeless Strategists | Galderma case concept | Model date: 06 Sep 2026 | Blue = input | Green = linked formula | Black = calculation</x:v>
      </x:c>
    </x:row>
  </x:sheetData>
  <x:mergeCells>
    <x:mergeCell ref="A1:J1"/>
    <x:mergeCell ref="A2:J2"/>
    <x:mergeCell ref="A13:J13"/>
  </x:mergeCells>
  <x:conditionalFormatting sqref="H5:H9">
    <x:cfRule type="containsText" dxfId="0" priority="1" operator="containsText" text="On Track"/>
    <x:cfRule type="containsText" dxfId="1" priority="2" operator="containsText" text="At Risk"/>
    <x:cfRule type="containsText" dxfId="2" priority="3" operator="containsText" text="Stopped"/>
  </x:conditionalFormatting>
  <x:dataValidations count="1">
    <x:dataValidation type="list" sqref="H5:H9">
      <x:formula1>"Pending,On Track,At Risk,Stopped,Complete"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BENZAC FIRST FIX | KPI TRACKER</x:v>
      </x:c>
      <x:c r="B1" s="3" t="str">
        <x:v>BENZAC FIRST FIX | KPI TRACKER</x:v>
      </x:c>
      <x:c r="C1" s="3" t="str">
        <x:v>BENZAC FIRST FIX | KPI TRACKER</x:v>
      </x:c>
      <x:c r="D1" s="3" t="str">
        <x:v>BENZAC FIRST FIX | KPI TRACKER</x:v>
      </x:c>
      <x:c r="E1" s="3" t="str">
        <x:v>BENZAC FIRST FIX | KPI TRACKER</x:v>
      </x:c>
      <x:c r="F1" s="3" t="str">
        <x:v>BENZAC FIRST FIX | KPI TRACKER</x:v>
      </x:c>
      <x:c r="G1" s="3" t="str">
        <x:v>BENZAC FIRST FIX | KPI TRACKER</x:v>
      </x:c>
      <x:c r="H1" s="3" t="str">
        <x:v>BENZAC FIRST FIX | KPI TRACKER</x:v>
      </x:c>
    </x:row>
    <x:row r="2" ht="24" customHeight="1">
      <x:c r="A2" s="6" t="str">
        <x:v>Enter actuals in blue cells. Status updates automatically against the decision rule.</x:v>
      </x:c>
      <x:c r="B2" s="6" t="str">
        <x:v>Enter actuals in blue cells. Status updates automatically against the decision rule.</x:v>
      </x:c>
      <x:c r="C2" s="6" t="str">
        <x:v>Enter actuals in blue cells. Status updates automatically against the decision rule.</x:v>
      </x:c>
      <x:c r="D2" s="6" t="str">
        <x:v>Enter actuals in blue cells. Status updates automatically against the decision rule.</x:v>
      </x:c>
      <x:c r="E2" s="6" t="str">
        <x:v>Enter actuals in blue cells. Status updates automatically against the decision rule.</x:v>
      </x:c>
      <x:c r="F2" s="6" t="str">
        <x:v>Enter actuals in blue cells. Status updates automatically against the decision rule.</x:v>
      </x:c>
      <x:c r="G2" s="6" t="str">
        <x:v>Enter actuals in blue cells. Status updates automatically against the decision rule.</x:v>
      </x:c>
      <x:c r="H2" s="6" t="str">
        <x:v>Enter actuals in blue cells. Status updates automatically against the decision rule.</x:v>
      </x:c>
    </x:row>
    <x:row r="4" ht="30" customHeight="1">
      <x:c r="A4" s="15" t="str">
        <x:v>KPI</x:v>
      </x:c>
      <x:c r="B4" s="16" t="str">
        <x:v>Phase</x:v>
      </x:c>
      <x:c r="C4" s="16" t="str">
        <x:v>Direction</x:v>
      </x:c>
      <x:c r="D4" s="16" t="str">
        <x:v>Target</x:v>
      </x:c>
      <x:c r="E4" s="16" t="str">
        <x:v>Actual</x:v>
      </x:c>
      <x:c r="F4" s="16" t="str">
        <x:v>Variance</x:v>
      </x:c>
      <x:c r="G4" s="16" t="str">
        <x:v>Status</x:v>
      </x:c>
      <x:c r="H4" s="17" t="str">
        <x:v>Owner</x:v>
      </x:c>
    </x:row>
    <x:row r="5">
      <x:c r="A5" s="37" t="str">
        <x:v>Correct-use comprehension</x:v>
      </x:c>
      <x:c r="B5" s="38" t="str">
        <x:v>Validate</x:v>
      </x:c>
      <x:c r="C5" s="38" t="str">
        <x:v>≥</x:v>
      </x:c>
      <x:c r="D5" s="67" t="n">
        <x:v>0.7</x:v>
      </x:c>
      <x:c r="E5" s="68" t="str"/>
      <x:c r="F5" s="69" t="str">
        <x:f>IF(E5="","",IF(C5="≥",E5-D5,D5-E5))</x:f>
      </x:c>
      <x:c r="G5" s="64" t="str">
        <x:f>IF(E5="","Pending",IF(F5&gt;=0,"On Track","At Risk"))</x:f>
        <x:v>Pending</x:v>
      </x:c>
      <x:c r="H5" s="39" t="str">
        <x:v>Consumer Insights</x:v>
      </x:c>
    </x:row>
    <x:row r="6">
      <x:c r="A6" s="40" t="str">
        <x:v>Adhesion performance gap</x:v>
      </x:c>
      <x:c r="B6" s="41" t="str">
        <x:v>Validate</x:v>
      </x:c>
      <x:c r="C6" s="41" t="str">
        <x:v>≤</x:v>
      </x:c>
      <x:c r="D6" s="70" t="n">
        <x:v>0.1</x:v>
      </x:c>
      <x:c r="E6" s="71" t="str"/>
      <x:c r="F6" s="72" t="str">
        <x:f>IF(E6="","",IF(C6="≥",E6-D6,D6-E6))</x:f>
      </x:c>
      <x:c r="G6" s="65" t="str">
        <x:f>IF(E6="","Pending",IF(F6&gt;=0,"On Track","At Risk"))</x:f>
        <x:v>Pending</x:v>
      </x:c>
      <x:c r="H6" s="42" t="str">
        <x:v>R&amp;D</x:v>
      </x:c>
    </x:row>
    <x:row r="7">
      <x:c r="A7" s="40" t="str">
        <x:v>₹99 concept preference</x:v>
      </x:c>
      <x:c r="B7" s="41" t="str">
        <x:v>Validate</x:v>
      </x:c>
      <x:c r="C7" s="41" t="str">
        <x:v>≥</x:v>
      </x:c>
      <x:c r="D7" s="70" t="n">
        <x:v>0.4</x:v>
      </x:c>
      <x:c r="E7" s="71" t="str"/>
      <x:c r="F7" s="72" t="str">
        <x:f>IF(E7="","",IF(C7="≥",E7-D7,D7-E7))</x:f>
      </x:c>
      <x:c r="G7" s="65" t="str">
        <x:f>IF(E7="","Pending",IF(F7&gt;=0,"On Track","At Risk"))</x:f>
        <x:v>Pending</x:v>
      </x:c>
      <x:c r="H7" s="42" t="str">
        <x:v>Consumer Insights</x:v>
      </x:c>
    </x:row>
    <x:row r="8">
      <x:c r="A8" s="40" t="str">
        <x:v>Cost per trial</x:v>
      </x:c>
      <x:c r="B8" s="41" t="str">
        <x:v>Seed</x:v>
      </x:c>
      <x:c r="C8" s="41" t="str">
        <x:v>≤</x:v>
      </x:c>
      <x:c r="D8" s="76" t="n">
        <x:v>100</x:v>
      </x:c>
      <x:c r="E8" s="77" t="str"/>
      <x:c r="F8" s="78" t="str">
        <x:f>IF(E8="","",IF(C8="≥",E8-D8,D8-E8))</x:f>
      </x:c>
      <x:c r="G8" s="65" t="str">
        <x:f>IF(E8="","Pending",IF(F8&gt;=0,"On Track","At Risk"))</x:f>
        <x:v>Pending</x:v>
      </x:c>
      <x:c r="H8" s="42" t="str">
        <x:v>Brand</x:v>
      </x:c>
    </x:row>
    <x:row r="9">
      <x:c r="A9" s="40" t="str">
        <x:v>Seed triers</x:v>
      </x:c>
      <x:c r="B9" s="41" t="str">
        <x:v>Seed</x:v>
      </x:c>
      <x:c r="C9" s="41" t="str">
        <x:v>≥</x:v>
      </x:c>
      <x:c r="D9" s="41" t="n">
        <x:v>150000</x:v>
      </x:c>
      <x:c r="E9" s="62" t="str"/>
      <x:c r="F9" s="65" t="str">
        <x:f>IF(E9="","",IF(C9="≥",E9-D9,D9-E9))</x:f>
      </x:c>
      <x:c r="G9" s="65" t="str">
        <x:f>IF(E9="","Pending",IF(F9&gt;=0,"On Track","At Risk"))</x:f>
        <x:v>Pending</x:v>
      </x:c>
      <x:c r="H9" s="42" t="str">
        <x:v>Sales + KAM</x:v>
      </x:c>
    </x:row>
    <x:row r="10">
      <x:c r="A10" s="40" t="str">
        <x:v>Year 1 offtake</x:v>
      </x:c>
      <x:c r="B10" s="41" t="str">
        <x:v>Prove</x:v>
      </x:c>
      <x:c r="C10" s="41" t="str">
        <x:v>≥</x:v>
      </x:c>
      <x:c r="D10" s="76" t="n">
        <x:v>180000000</x:v>
      </x:c>
      <x:c r="E10" s="77" t="str"/>
      <x:c r="F10" s="78" t="str">
        <x:f>IF(E10="","",IF(C10="≥",E10-D10,D10-E10))</x:f>
      </x:c>
      <x:c r="G10" s="65" t="str">
        <x:f>IF(E10="","Pending",IF(F10&gt;=0,"On Track","At Risk"))</x:f>
        <x:v>Pending</x:v>
      </x:c>
      <x:c r="H10" s="42" t="str">
        <x:v>Finance</x:v>
      </x:c>
    </x:row>
    <x:row r="11">
      <x:c r="A11" s="40" t="str">
        <x:v>Routine conversion</x:v>
      </x:c>
      <x:c r="B11" s="41" t="str">
        <x:v>Prove</x:v>
      </x:c>
      <x:c r="C11" s="41" t="str">
        <x:v>≥</x:v>
      </x:c>
      <x:c r="D11" s="70" t="n">
        <x:v>0.15</x:v>
      </x:c>
      <x:c r="E11" s="71" t="str"/>
      <x:c r="F11" s="72" t="str">
        <x:f>IF(E11="","",IF(C11="≥",E11-D11,D11-E11))</x:f>
      </x:c>
      <x:c r="G11" s="65" t="str">
        <x:f>IF(E11="","Pending",IF(F11&gt;=0,"On Track","At Risk"))</x:f>
        <x:v>Pending</x:v>
      </x:c>
      <x:c r="H11" s="42" t="str">
        <x:v>Brand + CRM</x:v>
      </x:c>
    </x:row>
    <x:row r="12">
      <x:c r="A12" s="40" t="str">
        <x:v>90-day repeat</x:v>
      </x:c>
      <x:c r="B12" s="41" t="str">
        <x:v>Scale</x:v>
      </x:c>
      <x:c r="C12" s="41" t="str">
        <x:v>≥</x:v>
      </x:c>
      <x:c r="D12" s="70" t="n">
        <x:v>0.3</x:v>
      </x:c>
      <x:c r="E12" s="71" t="str"/>
      <x:c r="F12" s="72" t="str">
        <x:f>IF(E12="","",IF(C12="≥",E12-D12,D12-E12))</x:f>
      </x:c>
      <x:c r="G12" s="65" t="str">
        <x:f>IF(E12="","Pending",IF(F12&gt;=0,"On Track","At Risk"))</x:f>
        <x:v>Pending</x:v>
      </x:c>
      <x:c r="H12" s="42" t="str">
        <x:v>Brand + KAM</x:v>
      </x:c>
    </x:row>
    <x:row r="13">
      <x:c r="A13" s="40" t="str">
        <x:v>Numeric distribution</x:v>
      </x:c>
      <x:c r="B13" s="41" t="str">
        <x:v>Scale</x:v>
      </x:c>
      <x:c r="C13" s="41" t="str">
        <x:v>≥</x:v>
      </x:c>
      <x:c r="D13" s="70" t="n">
        <x:v>0.22</x:v>
      </x:c>
      <x:c r="E13" s="71" t="str"/>
      <x:c r="F13" s="72" t="str">
        <x:f>IF(E13="","",IF(C13="≥",E13-D13,D13-E13))</x:f>
      </x:c>
      <x:c r="G13" s="65" t="str">
        <x:f>IF(E13="","Pending",IF(F13&gt;=0,"On Track","At Risk"))</x:f>
        <x:v>Pending</x:v>
      </x:c>
      <x:c r="H13" s="42" t="str">
        <x:v>Sales</x:v>
      </x:c>
    </x:row>
    <x:row r="14">
      <x:c r="A14" s="40" t="str">
        <x:v>Year 2 offtake</x:v>
      </x:c>
      <x:c r="B14" s="41" t="str">
        <x:v>Compound</x:v>
      </x:c>
      <x:c r="C14" s="41" t="str">
        <x:v>≥</x:v>
      </x:c>
      <x:c r="D14" s="76" t="n">
        <x:v>520000000</x:v>
      </x:c>
      <x:c r="E14" s="77" t="str"/>
      <x:c r="F14" s="78" t="str">
        <x:f>IF(E14="","",IF(C14="≥",E14-D14,D14-E14))</x:f>
      </x:c>
      <x:c r="G14" s="65" t="str">
        <x:f>IF(E14="","Pending",IF(F14&gt;=0,"On Track","At Risk"))</x:f>
        <x:v>Pending</x:v>
      </x:c>
      <x:c r="H14" s="42" t="str">
        <x:v>Finance</x:v>
      </x:c>
    </x:row>
    <x:row r="15">
      <x:c r="A15" s="40" t="str">
        <x:v>Routine conversion Y2</x:v>
      </x:c>
      <x:c r="B15" s="41" t="str">
        <x:v>Compound</x:v>
      </x:c>
      <x:c r="C15" s="41" t="str">
        <x:v>≥</x:v>
      </x:c>
      <x:c r="D15" s="70" t="n">
        <x:v>0.18</x:v>
      </x:c>
      <x:c r="E15" s="71" t="str"/>
      <x:c r="F15" s="72" t="str">
        <x:f>IF(E15="","",IF(C15="≥",E15-D15,D15-E15))</x:f>
      </x:c>
      <x:c r="G15" s="65" t="str">
        <x:f>IF(E15="","Pending",IF(F15&gt;=0,"On Track","At Risk"))</x:f>
        <x:v>Pending</x:v>
      </x:c>
      <x:c r="H15" s="42" t="str">
        <x:v>Brand</x:v>
      </x:c>
    </x:row>
    <x:row r="16">
      <x:c r="A16" s="43" t="str">
        <x:v>Unaided awareness Y2</x:v>
      </x:c>
      <x:c r="B16" s="44" t="str">
        <x:v>Compound</x:v>
      </x:c>
      <x:c r="C16" s="44" t="str">
        <x:v>≥</x:v>
      </x:c>
      <x:c r="D16" s="73" t="n">
        <x:v>0.3</x:v>
      </x:c>
      <x:c r="E16" s="74" t="str"/>
      <x:c r="F16" s="75" t="str">
        <x:f>IF(E16="","",IF(C16="≥",E16-D16,D16-E16))</x:f>
      </x:c>
      <x:c r="G16" s="66" t="str">
        <x:f>IF(E16="","Pending",IF(F16&gt;=0,"On Track","At Risk"))</x:f>
        <x:v>Pending</x:v>
      </x:c>
      <x:c r="H16" s="45" t="str">
        <x:v>Consumer Insights</x:v>
      </x:c>
    </x:row>
    <x:row r="20">
      <x:c r="A20" s="60" t="str">
        <x:v>Lifeless Strategists | Galderma case concept | Model date: 06 Sep 2026 | Blue = input | Green = linked formula | Black = calculation</x:v>
      </x:c>
      <x:c r="B20" s="60" t="str">
        <x:v>Lifeless Strategists | Galderma case concept | Model date: 06 Sep 2026 | Blue = input | Green = linked formula | Black = calculation</x:v>
      </x:c>
      <x:c r="C20" s="60" t="str">
        <x:v>Lifeless Strategists | Galderma case concept | Model date: 06 Sep 2026 | Blue = input | Green = linked formula | Black = calculation</x:v>
      </x:c>
      <x:c r="D20" s="60" t="str">
        <x:v>Lifeless Strategists | Galderma case concept | Model date: 06 Sep 2026 | Blue = input | Green = linked formula | Black = calculation</x:v>
      </x:c>
      <x:c r="E20" s="60" t="str">
        <x:v>Lifeless Strategists | Galderma case concept | Model date: 06 Sep 2026 | Blue = input | Green = linked formula | Black = calculation</x:v>
      </x:c>
      <x:c r="F20" s="60" t="str">
        <x:v>Lifeless Strategists | Galderma case concept | Model date: 06 Sep 2026 | Blue = input | Green = linked formula | Black = calculation</x:v>
      </x:c>
      <x:c r="G20" s="60" t="str">
        <x:v>Lifeless Strategists | Galderma case concept | Model date: 06 Sep 2026 | Blue = input | Green = linked formula | Black = calculation</x:v>
      </x:c>
      <x:c r="H20" s="60" t="str">
        <x:v>Lifeless Strategists | Galderma case concept | Model date: 06 Sep 2026 | Blue = input | Green = linked formula | Black = calculation</x:v>
      </x:c>
    </x:row>
  </x:sheetData>
  <x:mergeCells>
    <x:mergeCell ref="A1:H1"/>
    <x:mergeCell ref="A2:H2"/>
    <x:mergeCell ref="A20:H20"/>
  </x:mergeCells>
  <x:conditionalFormatting sqref="G5:G16">
    <x:cfRule type="containsText" dxfId="3" priority="1" operator="containsText" text="On Track"/>
    <x:cfRule type="containsText" dxfId="4" priority="2" operator="containsText" text="At Risk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20" hidden="0" customWidth="1"/>
    <x:col min="5" max="5" width="13" hidden="0" customWidth="1"/>
    <x:col min="6" max="6" width="23" hidden="0" customWidth="1"/>
  </x:cols>
  <x:sheetData>
    <x:row r="1" ht="34" customHeight="1">
      <x:c r="A1" s="3" t="str">
        <x:v>BENZAC FIRST FIX | ACTIVATION BUDGET</x:v>
      </x:c>
      <x:c r="B1" s="3" t="str">
        <x:v>BENZAC FIRST FIX | ACTIVATION BUDGET</x:v>
      </x:c>
      <x:c r="C1" s="3" t="str">
        <x:v>BENZAC FIRST FIX | ACTIVATION BUDGET</x:v>
      </x:c>
      <x:c r="D1" s="3" t="str">
        <x:v>BENZAC FIRST FIX | ACTIVATION BUDGET</x:v>
      </x:c>
      <x:c r="E1" s="3" t="str">
        <x:v>BENZAC FIRST FIX | ACTIVATION BUDGET</x:v>
      </x:c>
      <x:c r="F1" s="3" t="str">
        <x:v>BENZAC FIRST FIX | ACTIVATION BUDGET</x:v>
      </x:c>
    </x:row>
    <x:row r="2" ht="24" customHeight="1">
      <x:c r="A2" s="6" t="str">
        <x:v>Directional A&amp;P and activation envelope; replace with Galderma internal economics.</x:v>
      </x:c>
      <x:c r="B2" s="6" t="str">
        <x:v>Directional A&amp;P and activation envelope; replace with Galderma internal economics.</x:v>
      </x:c>
      <x:c r="C2" s="6" t="str">
        <x:v>Directional A&amp;P and activation envelope; replace with Galderma internal economics.</x:v>
      </x:c>
      <x:c r="D2" s="6" t="str">
        <x:v>Directional A&amp;P and activation envelope; replace with Galderma internal economics.</x:v>
      </x:c>
      <x:c r="E2" s="6" t="str">
        <x:v>Directional A&amp;P and activation envelope; replace with Galderma internal economics.</x:v>
      </x:c>
      <x:c r="F2" s="6" t="str">
        <x:v>Directional A&amp;P and activation envelope; replace with Galderma internal economics.</x:v>
      </x:c>
    </x:row>
    <x:row r="4" ht="30" customHeight="1">
      <x:c r="A4" s="15" t="str">
        <x:v>Workstream</x:v>
      </x:c>
      <x:c r="B4" s="16" t="str">
        <x:v>Year 1 (₹)</x:v>
      </x:c>
      <x:c r="C4" s="16" t="str">
        <x:v>Year 2 (₹)</x:v>
      </x:c>
      <x:c r="D4" s="16" t="str">
        <x:v>2-Year Total (₹)</x:v>
      </x:c>
      <x:c r="E4" s="16" t="str">
        <x:v>Share</x:v>
      </x:c>
      <x:c r="F4" s="17" t="str">
        <x:v>Owner</x:v>
      </x:c>
    </x:row>
    <x:row r="5">
      <x:c r="A5" s="37" t="str">
        <x:v>Digital + contextual content</x:v>
      </x:c>
      <x:c r="B5" s="79" t="n">
        <x:v>14000000</x:v>
      </x:c>
      <x:c r="C5" s="80" t="n">
        <x:v>24000000</x:v>
      </x:c>
      <x:c r="D5" s="88" t="n">
        <x:f>SUM(B5:C5)</x:f>
        <x:v>38000000</x:v>
      </x:c>
      <x:c r="E5" s="69" t="n">
        <x:f>D5/SUM($D$5:$D$10)</x:f>
        <x:v>0.3064516129032258</x:v>
      </x:c>
      <x:c r="F5" s="39" t="str">
        <x:v>Brand</x:v>
      </x:c>
    </x:row>
    <x:row r="6">
      <x:c r="A6" s="40" t="str">
        <x:v>Trial, events + Skin School</x:v>
      </x:c>
      <x:c r="B6" s="81" t="n">
        <x:v>8000000</x:v>
      </x:c>
      <x:c r="C6" s="82" t="n">
        <x:v>16000000</x:v>
      </x:c>
      <x:c r="D6" s="78" t="n">
        <x:f>SUM(B6:C6)</x:f>
        <x:v>24000000</x:v>
      </x:c>
      <x:c r="E6" s="72" t="n">
        <x:f>D6/SUM($D$5:$D$10)</x:f>
        <x:v>0.1935483870967742</x:v>
      </x:c>
      <x:c r="F6" s="42" t="str">
        <x:v>Brand + CSR</x:v>
      </x:c>
    </x:row>
    <x:row r="7">
      <x:c r="A7" s="40" t="str">
        <x:v>Pharmacy + trade visibility</x:v>
      </x:c>
      <x:c r="B7" s="81" t="n">
        <x:v>7000000</x:v>
      </x:c>
      <x:c r="C7" s="82" t="n">
        <x:v>18000000</x:v>
      </x:c>
      <x:c r="D7" s="78" t="n">
        <x:f>SUM(B7:C7)</x:f>
        <x:v>25000000</x:v>
      </x:c>
      <x:c r="E7" s="72" t="n">
        <x:f>D7/SUM($D$5:$D$10)</x:f>
        <x:v>0.20161290322580644</x:v>
      </x:c>
      <x:c r="F7" s="42" t="str">
        <x:v>Trade Marketing</x:v>
      </x:c>
    </x:row>
    <x:row r="8">
      <x:c r="A8" s="40" t="str">
        <x:v>HCP advocacy</x:v>
      </x:c>
      <x:c r="B8" s="81" t="n">
        <x:v>5000000</x:v>
      </x:c>
      <x:c r="C8" s="82" t="n">
        <x:v>12000000</x:v>
      </x:c>
      <x:c r="D8" s="78" t="n">
        <x:f>SUM(B8:C8)</x:f>
        <x:v>17000000</x:v>
      </x:c>
      <x:c r="E8" s="72" t="n">
        <x:f>D8/SUM($D$5:$D$10)</x:f>
        <x:v>0.13709677419354838</x:v>
      </x:c>
      <x:c r="F8" s="42" t="str">
        <x:v>Medical Affairs</x:v>
      </x:c>
    </x:row>
    <x:row r="9">
      <x:c r="A9" s="40" t="str">
        <x:v>MT/GT launch support</x:v>
      </x:c>
      <x:c r="B9" s="81" t="n">
        <x:v>0</x:v>
      </x:c>
      <x:c r="C9" s="82" t="n">
        <x:v>11000000</x:v>
      </x:c>
      <x:c r="D9" s="78" t="n">
        <x:f>SUM(B9:C9)</x:f>
        <x:v>11000000</x:v>
      </x:c>
      <x:c r="E9" s="72" t="n">
        <x:f>D9/SUM($D$5:$D$10)</x:f>
        <x:v>0.08870967741935484</x:v>
      </x:c>
      <x:c r="F9" s="42" t="str">
        <x:v>Sales + Trade</x:v>
      </x:c>
    </x:row>
    <x:row r="10">
      <x:c r="A10" s="43" t="str">
        <x:v>Research + measurement</x:v>
      </x:c>
      <x:c r="B10" s="83" t="n">
        <x:v>5000000</x:v>
      </x:c>
      <x:c r="C10" s="84" t="n">
        <x:v>4000000</x:v>
      </x:c>
      <x:c r="D10" s="89" t="n">
        <x:f>SUM(B10:C10)</x:f>
        <x:v>9000000</x:v>
      </x:c>
      <x:c r="E10" s="75" t="n">
        <x:f>D10/SUM($D$5:$D$10)</x:f>
        <x:v>0.07258064516129033</x:v>
      </x:c>
      <x:c r="F10" s="45" t="str">
        <x:v>Insights + Finance</x:v>
      </x:c>
    </x:row>
    <x:row r="11">
      <x:c r="A11" s="94" t="str">
        <x:v>TOTAL</x:v>
      </x:c>
      <x:c r="B11" s="94" t="n">
        <x:f>SUM(B5:B10)</x:f>
        <x:v>39000000</x:v>
      </x:c>
      <x:c r="C11" s="94" t="n">
        <x:f>SUM(C5:C10)</x:f>
        <x:v>85000000</x:v>
      </x:c>
      <x:c r="D11" s="95" t="n">
        <x:f>SUM(D5:D10)</x:f>
        <x:v>124000000</x:v>
      </x:c>
      <x:c r="E11" s="96" t="n">
        <x:f>SUM(E5:E10)</x:f>
        <x:v>1</x:v>
      </x:c>
      <x:c r="F11" s="94" t="str"/>
    </x:row>
    <x:row r="15">
      <x:c r="A15" s="60" t="str">
        <x:v>Lifeless Strategists | Galderma case concept | Model date: 06 Sep 2026 | Blue = input | Green = linked formula | Black = calculation</x:v>
      </x:c>
      <x:c r="B15" s="60" t="str">
        <x:v>Lifeless Strategists | Galderma case concept | Model date: 06 Sep 2026 | Blue = input | Green = linked formula | Black = calculation</x:v>
      </x:c>
      <x:c r="C15" s="60" t="str">
        <x:v>Lifeless Strategists | Galderma case concept | Model date: 06 Sep 2026 | Blue = input | Green = linked formula | Black = calculation</x:v>
      </x:c>
      <x:c r="D15" s="60" t="str">
        <x:v>Lifeless Strategists | Galderma case concept | Model date: 06 Sep 2026 | Blue = input | Green = linked formula | Black = calculation</x:v>
      </x:c>
      <x:c r="E15" s="60" t="str">
        <x:v>Lifeless Strategists | Galderma case concept | Model date: 06 Sep 2026 | Blue = input | Green = linked formula | Black = calculation</x:v>
      </x:c>
      <x:c r="F15" s="60" t="str">
        <x:v>Lifeless Strategists | Galderma case concept | Model date: 06 Sep 2026 | Blue = input | Green = linked formula | Black = calculation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28" hidden="0" customWidth="1"/>
    <x:col min="5" max="5" width="48" hidden="0" customWidth="1"/>
    <x:col min="6" max="6" width="24" hidden="0" customWidth="1"/>
    <x:col min="7" max="7" width="14" hidden="0" customWidth="1"/>
    <x:col min="8" max="8" width="15" hidden="0" customWidth="1"/>
  </x:cols>
  <x:sheetData>
    <x:row r="1" ht="34" customHeight="1">
      <x:c r="A1" s="3" t="str">
        <x:v>BENZAC FIRST FIX | RISK REGISTER</x:v>
      </x:c>
      <x:c r="B1" s="3" t="str">
        <x:v>BENZAC FIRST FIX | RISK REGISTER</x:v>
      </x:c>
      <x:c r="C1" s="3" t="str">
        <x:v>BENZAC FIRST FIX | RISK REGISTER</x:v>
      </x:c>
      <x:c r="D1" s="3" t="str">
        <x:v>BENZAC FIRST FIX | RISK REGISTER</x:v>
      </x:c>
      <x:c r="E1" s="3" t="str">
        <x:v>BENZAC FIRST FIX | RISK REGISTER</x:v>
      </x:c>
      <x:c r="F1" s="3" t="str">
        <x:v>BENZAC FIRST FIX | RISK REGISTER</x:v>
      </x:c>
      <x:c r="G1" s="3" t="str">
        <x:v>BENZAC FIRST FIX | RISK REGISTER</x:v>
      </x:c>
      <x:c r="H1" s="3" t="str">
        <x:v>BENZAC FIRST FIX | RISK REGISTER</x:v>
      </x:c>
    </x:row>
    <x:row r="2" ht="24" customHeight="1">
      <x:c r="A2" s="6" t="str">
        <x:v>Triggers convert strategic risk into pre-decided operating action.</x:v>
      </x:c>
      <x:c r="B2" s="6" t="str">
        <x:v>Triggers convert strategic risk into pre-decided operating action.</x:v>
      </x:c>
      <x:c r="C2" s="6" t="str">
        <x:v>Triggers convert strategic risk into pre-decided operating action.</x:v>
      </x:c>
      <x:c r="D2" s="6" t="str">
        <x:v>Triggers convert strategic risk into pre-decided operating action.</x:v>
      </x:c>
      <x:c r="E2" s="6" t="str">
        <x:v>Triggers convert strategic risk into pre-decided operating action.</x:v>
      </x:c>
      <x:c r="F2" s="6" t="str">
        <x:v>Triggers convert strategic risk into pre-decided operating action.</x:v>
      </x:c>
      <x:c r="G2" s="6" t="str">
        <x:v>Triggers convert strategic risk into pre-decided operating action.</x:v>
      </x:c>
      <x:c r="H2" s="6" t="str">
        <x:v>Triggers convert strategic risk into pre-decided operating action.</x:v>
      </x:c>
    </x:row>
    <x:row r="4" ht="30" customHeight="1">
      <x:c r="A4" s="15" t="str">
        <x:v>Risk</x:v>
      </x:c>
      <x:c r="B4" s="16" t="str">
        <x:v>Likelihood</x:v>
      </x:c>
      <x:c r="C4" s="16" t="str">
        <x:v>Impact</x:v>
      </x:c>
      <x:c r="D4" s="16" t="str">
        <x:v>Trigger</x:v>
      </x:c>
      <x:c r="E4" s="16" t="str">
        <x:v>Response</x:v>
      </x:c>
      <x:c r="F4" s="16" t="str">
        <x:v>Owner</x:v>
      </x:c>
      <x:c r="G4" s="16" t="str">
        <x:v>Status</x:v>
      </x:c>
      <x:c r="H4" s="17" t="str">
        <x:v>Main gate</x:v>
      </x:c>
    </x:row>
    <x:row r="5">
      <x:c r="A5" s="37" t="str">
        <x:v>Fun shape reduces adhesion / efficacy</x:v>
      </x:c>
      <x:c r="B5" s="38" t="str">
        <x:v>Medium</x:v>
      </x:c>
      <x:c r="C5" s="38" t="str">
        <x:v>High</x:v>
      </x:c>
      <x:c r="D5" s="38" t="str">
        <x:v>&gt;10% performance gap</x:v>
      </x:c>
      <x:c r="E5" s="38" t="str">
        <x:v>Lead with invisible core; move fun to outer layer or pause</x:v>
      </x:c>
      <x:c r="F5" s="38" t="str">
        <x:v>R&amp;D + Medical</x:v>
      </x:c>
      <x:c r="G5" s="61" t="str">
        <x:v>Open</x:v>
      </x:c>
      <x:c r="H5" s="39" t="str">
        <x:v>Validate</x:v>
      </x:c>
    </x:row>
    <x:row r="6">
      <x:c r="A6" s="40" t="str">
        <x:v>₹99 pack destroys unit economics</x:v>
      </x:c>
      <x:c r="B6" s="41" t="str">
        <x:v>Medium</x:v>
      </x:c>
      <x:c r="C6" s="41" t="str">
        <x:v>High</x:v>
      </x:c>
      <x:c r="D6" s="41" t="str">
        <x:v>Negative contribution after trade</x:v>
      </x:c>
      <x:c r="E6" s="41" t="str">
        <x:v>Test ₹119/₹129, pack count or selective trial use</x:v>
      </x:c>
      <x:c r="F6" s="41" t="str">
        <x:v>Finance + Brand</x:v>
      </x:c>
      <x:c r="G6" s="62" t="str">
        <x:v>Open</x:v>
      </x:c>
      <x:c r="H6" s="42" t="str">
        <x:v>Validate</x:v>
      </x:c>
    </x:row>
    <x:row r="7">
      <x:c r="A7" s="40" t="str">
        <x:v>Parent rejects medicated cue</x:v>
      </x:c>
      <x:c r="B7" s="41" t="str">
        <x:v>High</x:v>
      </x:c>
      <x:c r="C7" s="41" t="str">
        <x:v>High</x:v>
      </x:c>
      <x:c r="D7" s="41" t="str">
        <x:v>Veto &gt;50% at M6</x:v>
      </x:c>
      <x:c r="E7" s="41" t="str">
        <x:v>Increase parent proof, HCP co-sign and Bar-first route</x:v>
      </x:c>
      <x:c r="F7" s="41" t="str">
        <x:v>Brand + Medical</x:v>
      </x:c>
      <x:c r="G7" s="62" t="str">
        <x:v>Open</x:v>
      </x:c>
      <x:c r="H7" s="42" t="str">
        <x:v>Seed</x:v>
      </x:c>
    </x:row>
    <x:row r="8">
      <x:c r="A8" s="40" t="str">
        <x:v>Routine conversion misses plan</x:v>
      </x:c>
      <x:c r="B8" s="41" t="str">
        <x:v>Medium</x:v>
      </x:c>
      <x:c r="C8" s="41" t="str">
        <x:v>Very High</x:v>
      </x:c>
      <x:c r="D8" s="41" t="str">
        <x:v>&lt;15% at M12</x:v>
      </x:c>
      <x:c r="E8" s="41" t="str">
        <x:v>Cleanser sample, bundle and adult/parent reminders; hold scale</x:v>
      </x:c>
      <x:c r="F8" s="41" t="str">
        <x:v>Brand + KAM</x:v>
      </x:c>
      <x:c r="G8" s="62" t="str">
        <x:v>Open</x:v>
      </x:c>
      <x:c r="H8" s="42" t="str">
        <x:v>Prove</x:v>
      </x:c>
    </x:row>
    <x:row r="9">
      <x:c r="A9" s="40" t="str">
        <x:v>Unsupported creator claim</x:v>
      </x:c>
      <x:c r="B9" s="41" t="str">
        <x:v>Medium</x:v>
      </x:c>
      <x:c r="C9" s="41" t="str">
        <x:v>High</x:v>
      </x:c>
      <x:c r="D9" s="41" t="str">
        <x:v>One material breach</x:v>
      </x:c>
      <x:c r="E9" s="41" t="str">
        <x:v>Remove, correct, retrain and enforce medical sign-off</x:v>
      </x:c>
      <x:c r="F9" s="41" t="str">
        <x:v>Legal + Brand</x:v>
      </x:c>
      <x:c r="G9" s="62" t="str">
        <x:v>Open</x:v>
      </x:c>
      <x:c r="H9" s="42" t="str">
        <x:v>Always</x:v>
      </x:c>
    </x:row>
    <x:row r="10">
      <x:c r="A10" s="40" t="str">
        <x:v>Improper minor data capture</x:v>
      </x:c>
      <x:c r="B10" s="41" t="str">
        <x:v>Low</x:v>
      </x:c>
      <x:c r="C10" s="41" t="str">
        <x:v>Very High</x:v>
      </x:c>
      <x:c r="D10" s="41" t="str">
        <x:v>Any unapproved data flow</x:v>
      </x:c>
      <x:c r="E10" s="41" t="str">
        <x:v>Shut flow, notify privacy/legal, delete as required</x:v>
      </x:c>
      <x:c r="F10" s="41" t="str">
        <x:v>DPO + Legal</x:v>
      </x:c>
      <x:c r="G10" s="62" t="str">
        <x:v>Open</x:v>
      </x:c>
      <x:c r="H10" s="42" t="str">
        <x:v>Always</x:v>
      </x:c>
    </x:row>
    <x:row r="11">
      <x:c r="A11" s="40" t="str">
        <x:v>School program seen as sales</x:v>
      </x:c>
      <x:c r="B11" s="41" t="str">
        <x:v>Medium</x:v>
      </x:c>
      <x:c r="C11" s="41" t="str">
        <x:v>High</x:v>
      </x:c>
      <x:c r="D11" s="41" t="str">
        <x:v>Complaint or consent failure</x:v>
      </x:c>
      <x:c r="E11" s="41" t="str">
        <x:v>Pause, separate education and sampling, independent review</x:v>
      </x:c>
      <x:c r="F11" s="41" t="str">
        <x:v>CSR + Legal</x:v>
      </x:c>
      <x:c r="G11" s="62" t="str">
        <x:v>Open</x:v>
      </x:c>
      <x:c r="H11" s="42" t="str">
        <x:v>Scale</x:v>
      </x:c>
    </x:row>
    <x:row r="12">
      <x:c r="A12" s="40" t="str">
        <x:v>Patch commoditised</x:v>
      </x:c>
      <x:c r="B12" s="41" t="str">
        <x:v>High</x:v>
      </x:c>
      <x:c r="C12" s="41" t="str">
        <x:v>Medium</x:v>
      </x:c>
      <x:c r="D12" s="41" t="str">
        <x:v>Price gap &gt;2× and falling trial</x:v>
      </x:c>
      <x:c r="E12" s="41" t="str">
        <x:v>Defend claim + trust + ₹99 entry; avoid price war</x:v>
      </x:c>
      <x:c r="F12" s="41" t="str">
        <x:v>Brand</x:v>
      </x:c>
      <x:c r="G12" s="62" t="str">
        <x:v>Open</x:v>
      </x:c>
      <x:c r="H12" s="42" t="str">
        <x:v>Compound</x:v>
      </x:c>
    </x:row>
    <x:row r="13">
      <x:c r="A13" s="40" t="str">
        <x:v>Pharmacy misrecommendation</x:v>
      </x:c>
      <x:c r="B13" s="41" t="str">
        <x:v>Medium</x:v>
      </x:c>
      <x:c r="C13" s="41" t="str">
        <x:v>High</x:v>
      </x:c>
      <x:c r="D13" s="41" t="str">
        <x:v>Mystery-shop failure &gt;15%</x:v>
      </x:c>
      <x:c r="E13" s="41" t="str">
        <x:v>Simplify script, retrain, referral-first protocol</x:v>
      </x:c>
      <x:c r="F13" s="41" t="str">
        <x:v>Trade + Medical</x:v>
      </x:c>
      <x:c r="G13" s="62" t="str">
        <x:v>Open</x:v>
      </x:c>
      <x:c r="H13" s="42" t="str">
        <x:v>Seed</x:v>
      </x:c>
    </x:row>
    <x:row r="14">
      <x:c r="A14" s="43" t="str">
        <x:v>Supply constraint</x:v>
      </x:c>
      <x:c r="B14" s="44" t="str">
        <x:v>Medium</x:v>
      </x:c>
      <x:c r="C14" s="44" t="str">
        <x:v>High</x:v>
      </x:c>
      <x:c r="D14" s="44" t="str">
        <x:v>Fill rate &lt;90%</x:v>
      </x:c>
      <x:c r="E14" s="44" t="str">
        <x:v>Sequence cities, build safety stock, limit burst</x:v>
      </x:c>
      <x:c r="F14" s="44" t="str">
        <x:v>Supply + Sales</x:v>
      </x:c>
      <x:c r="G14" s="63" t="str">
        <x:v>Open</x:v>
      </x:c>
      <x:c r="H14" s="45" t="str">
        <x:v>Scale</x:v>
      </x:c>
    </x:row>
    <x:row r="18">
      <x:c r="A18" s="60" t="str">
        <x:v>Lifeless Strategists | Galderma case concept | Model date: 06 Sep 2026 | Blue = input | Green = linked formula | Black = calculation</x:v>
      </x:c>
      <x:c r="B18" s="60" t="str">
        <x:v>Lifeless Strategists | Galderma case concept | Model date: 06 Sep 2026 | Blue = input | Green = linked formula | Black = calculation</x:v>
      </x:c>
      <x:c r="C18" s="60" t="str">
        <x:v>Lifeless Strategists | Galderma case concept | Model date: 06 Sep 2026 | Blue = input | Green = linked formula | Black = calculation</x:v>
      </x:c>
      <x:c r="D18" s="60" t="str">
        <x:v>Lifeless Strategists | Galderma case concept | Model date: 06 Sep 2026 | Blue = input | Green = linked formula | Black = calculation</x:v>
      </x:c>
      <x:c r="E18" s="60" t="str">
        <x:v>Lifeless Strategists | Galderma case concept | Model date: 06 Sep 2026 | Blue = input | Green = linked formula | Black = calculation</x:v>
      </x:c>
      <x:c r="F18" s="60" t="str">
        <x:v>Lifeless Strategists | Galderma case concept | Model date: 06 Sep 2026 | Blue = input | Green = linked formula | Black = calculation</x:v>
      </x:c>
      <x:c r="G18" s="60" t="str">
        <x:v>Lifeless Strategists | Galderma case concept | Model date: 06 Sep 2026 | Blue = input | Green = linked formula | Black = calculation</x:v>
      </x:c>
      <x:c r="H18" s="60" t="str">
        <x:v>Lifeless Strategists | Galderma case concept | Model date: 06 Sep 2026 | Blue = input | Green = linked formula | Black = calculation</x:v>
      </x:c>
    </x:row>
  </x:sheetData>
  <x:mergeCells>
    <x:mergeCell ref="A1:H1"/>
    <x:mergeCell ref="A2:H2"/>
    <x:mergeCell ref="A18:H18"/>
  </x:mergeCells>
  <x:conditionalFormatting sqref="G5:G14">
    <x:cfRule type="containsText" dxfId="5" priority="1" operator="containsText" text="Triggered"/>
    <x:cfRule type="containsText" dxfId="6" priority="2" operator="containsText" text="Closed"/>
  </x:conditionalFormatting>
  <x:dataValidations count="1">
    <x:dataValidation type="list" sqref="G5:G14">
      <x:formula1>"Open,Mitigated,Triggered,Closed"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22" hidden="0" customWidth="1"/>
    <x:col min="4" max="4" width="39" hidden="0" customWidth="1"/>
    <x:col min="5" max="5" width="13" hidden="0" customWidth="1"/>
    <x:col min="6" max="6" width="26" hidden="0" customWidth="1"/>
    <x:col min="7" max="7" width="22" hidden="0" customWidth="1"/>
  </x:cols>
  <x:sheetData>
    <x:row r="1" ht="34" customHeight="1">
      <x:c r="A1" s="3" t="str">
        <x:v>BENZAC FIRST FIX | CHANNEL PLAN</x:v>
      </x:c>
      <x:c r="B1" s="3" t="str">
        <x:v>BENZAC FIRST FIX | CHANNEL PLAN</x:v>
      </x:c>
      <x:c r="C1" s="3" t="str">
        <x:v>BENZAC FIRST FIX | CHANNEL PLAN</x:v>
      </x:c>
      <x:c r="D1" s="3" t="str">
        <x:v>BENZAC FIRST FIX | CHANNEL PLAN</x:v>
      </x:c>
      <x:c r="E1" s="3" t="str">
        <x:v>BENZAC FIRST FIX | CHANNEL PLAN</x:v>
      </x:c>
      <x:c r="F1" s="3" t="str">
        <x:v>BENZAC FIRST FIX | CHANNEL PLAN</x:v>
      </x:c>
      <x:c r="G1" s="3" t="str">
        <x:v>BENZAC FIRST FIX | CHANNEL PLAN</x:v>
      </x:c>
    </x:row>
    <x:row r="2" ht="24" customHeight="1">
      <x:c r="A2" s="6" t="str">
        <x:v>Each channel gets one hero SKU, one job and one primary measure.</x:v>
      </x:c>
      <x:c r="B2" s="6" t="str">
        <x:v>Each channel gets one hero SKU, one job and one primary measure.</x:v>
      </x:c>
      <x:c r="C2" s="6" t="str">
        <x:v>Each channel gets one hero SKU, one job and one primary measure.</x:v>
      </x:c>
      <x:c r="D2" s="6" t="str">
        <x:v>Each channel gets one hero SKU, one job and one primary measure.</x:v>
      </x:c>
      <x:c r="E2" s="6" t="str">
        <x:v>Each channel gets one hero SKU, one job and one primary measure.</x:v>
      </x:c>
      <x:c r="F2" s="6" t="str">
        <x:v>Each channel gets one hero SKU, one job and one primary measure.</x:v>
      </x:c>
      <x:c r="G2" s="6" t="str">
        <x:v>Each channel gets one hero SKU, one job and one primary measure.</x:v>
      </x:c>
    </x:row>
    <x:row r="4" ht="30" customHeight="1">
      <x:c r="A4" s="15" t="str">
        <x:v>Channel</x:v>
      </x:c>
      <x:c r="B4" s="16" t="str">
        <x:v>Hero SKU</x:v>
      </x:c>
      <x:c r="C4" s="16" t="str">
        <x:v>Role</x:v>
      </x:c>
      <x:c r="D4" s="16" t="str">
        <x:v>Activation</x:v>
      </x:c>
      <x:c r="E4" s="16" t="str">
        <x:v>Y3 mix</x:v>
      </x:c>
      <x:c r="F4" s="16" t="str">
        <x:v>Primary KPI</x:v>
      </x:c>
      <x:c r="G4" s="17" t="str">
        <x:v>Owner</x:v>
      </x:c>
    </x:row>
    <x:row r="5">
      <x:c r="A5" s="37" t="str">
        <x:v>E/Q-commerce</x:v>
      </x:c>
      <x:c r="B5" s="38" t="str">
        <x:v>First Fix + Restore</x:v>
      </x:c>
      <x:c r="C5" s="38" t="str">
        <x:v>Discovery + speed</x:v>
      </x:c>
      <x:c r="D5" s="38" t="str">
        <x:v>Category search, A+ guide, bundle</x:v>
      </x:c>
      <x:c r="E5" s="97" t="n">
        <x:v>0.34</x:v>
      </x:c>
      <x:c r="F5" s="38" t="str">
        <x:v>PDP conversion &gt;12%</x:v>
      </x:c>
      <x:c r="G5" s="39" t="str">
        <x:v>E-commerce KAM</x:v>
      </x:c>
    </x:row>
    <x:row r="6">
      <x:c r="A6" s="40" t="str">
        <x:v>Pharmacy</x:v>
      </x:c>
      <x:c r="B6" s="41" t="str">
        <x:v>First Fix + Bar</x:v>
      </x:c>
      <x:c r="C6" s="41" t="str">
        <x:v>Authority + impulse</x:v>
      </x:c>
      <x:c r="D6" s="41" t="str">
        <x:v>Counter dispenser and 3-question script</x:v>
      </x:c>
      <x:c r="E6" s="98" t="n">
        <x:v>0.27</x:v>
      </x:c>
      <x:c r="F6" s="41" t="str">
        <x:v>Mystery-shop pass &gt;85%</x:v>
      </x:c>
      <x:c r="G6" s="42" t="str">
        <x:v>Trade + Medical</x:v>
      </x:c>
    </x:row>
    <x:row r="7">
      <x:c r="A7" s="40" t="str">
        <x:v>Modern Trade</x:v>
      </x:c>
      <x:c r="B7" s="41" t="str">
        <x:v>Bar + Cleanser</x:v>
      </x:c>
      <x:c r="C7" s="41" t="str">
        <x:v>Family basket</x:v>
      </x:c>
      <x:c r="D7" s="41" t="str">
        <x:v>Shelf block, parent guide, bundles</x:v>
      </x:c>
      <x:c r="E7" s="98" t="n">
        <x:v>0.22</x:v>
      </x:c>
      <x:c r="F7" s="41" t="str">
        <x:v>Numeric distribution</x:v>
      </x:c>
      <x:c r="G7" s="42" t="str">
        <x:v>Sales + Trade</x:v>
      </x:c>
    </x:row>
    <x:row r="8">
      <x:c r="A8" s="43" t="str">
        <x:v>General Trade</x:v>
      </x:c>
      <x:c r="B8" s="44" t="str">
        <x:v>Bar</x:v>
      </x:c>
      <x:c r="C8" s="44" t="str">
        <x:v>Tier 2/3 reach</x:v>
      </x:c>
      <x:c r="D8" s="44" t="str">
        <x:v>Bar-first rollout after pilot proof</x:v>
      </x:c>
      <x:c r="E8" s="99" t="n">
        <x:v>0.17</x:v>
      </x:c>
      <x:c r="F8" s="44" t="str">
        <x:v>Weighted distribution</x:v>
      </x:c>
      <x:c r="G8" s="45" t="str">
        <x:v>Sales</x:v>
      </x:c>
    </x:row>
    <x:row r="12">
      <x:c r="A12" s="60" t="str">
        <x:v>Lifeless Strategists | Galderma case concept | Model date: 06 Sep 2026 | Blue = input | Green = linked formula | Black = calculation</x:v>
      </x:c>
      <x:c r="B12" s="60" t="str">
        <x:v>Lifeless Strategists | Galderma case concept | Model date: 06 Sep 2026 | Blue = input | Green = linked formula | Black = calculation</x:v>
      </x:c>
      <x:c r="C12" s="60" t="str">
        <x:v>Lifeless Strategists | Galderma case concept | Model date: 06 Sep 2026 | Blue = input | Green = linked formula | Black = calculation</x:v>
      </x:c>
      <x:c r="D12" s="60" t="str">
        <x:v>Lifeless Strategists | Galderma case concept | Model date: 06 Sep 2026 | Blue = input | Green = linked formula | Black = calculation</x:v>
      </x:c>
      <x:c r="E12" s="60" t="str">
        <x:v>Lifeless Strategists | Galderma case concept | Model date: 06 Sep 2026 | Blue = input | Green = linked formula | Black = calculation</x:v>
      </x:c>
      <x:c r="F12" s="60" t="str">
        <x:v>Lifeless Strategists | Galderma case concept | Model date: 06 Sep 2026 | Blue = input | Green = linked formula | Black = calculation</x:v>
      </x:c>
      <x:c r="G12" s="60" t="str">
        <x:v>Lifeless Strategists | Galderma case concept | Model date: 06 Sep 2026 | Blue = input | Green = linked formula | Black = calculation</x:v>
      </x:c>
    </x:row>
  </x:sheetData>
  <x:mergeCells>
    <x:mergeCell ref="A1:G1"/>
    <x:mergeCell ref="A2:G2"/>
    <x:mergeCell ref="A12:G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3" hidden="0" customWidth="1"/>
    <x:col min="3" max="3" width="70" hidden="0" customWidth="1"/>
    <x:col min="4" max="4" width="15" hidden="0" customWidth="1"/>
  </x:cols>
  <x:sheetData>
    <x:row r="1" ht="34" customHeight="1">
      <x:c r="A1" s="3" t="str">
        <x:v>BENZAC FIRST FIX | OPERATING SOURCES</x:v>
      </x:c>
      <x:c r="B1" s="3" t="str">
        <x:v>BENZAC FIRST FIX | OPERATING SOURCES</x:v>
      </x:c>
      <x:c r="C1" s="3" t="str">
        <x:v>BENZAC FIRST FIX | OPERATING SOURCES</x:v>
      </x:c>
      <x:c r="D1" s="3" t="str">
        <x:v>BENZAC FIRST FIX | OPERATING SOURCES</x:v>
      </x:c>
    </x:row>
    <x:row r="2" ht="24" customHeight="1">
      <x:c r="A2" s="6" t="str">
        <x:v>The execution plan uses official compliance sources and explicit case assumptions.</x:v>
      </x:c>
      <x:c r="B2" s="6" t="str">
        <x:v>The execution plan uses official compliance sources and explicit case assumptions.</x:v>
      </x:c>
      <x:c r="C2" s="6" t="str">
        <x:v>The execution plan uses official compliance sources and explicit case assumptions.</x:v>
      </x:c>
      <x:c r="D2" s="6" t="str">
        <x:v>The execution plan uses official compliance sources and explicit case assumptions.</x:v>
      </x:c>
    </x:row>
    <x:row r="4" ht="30" customHeight="1">
      <x:c r="A4" s="15" t="str">
        <x:v>Item</x:v>
      </x:c>
      <x:c r="B4" s="16" t="str">
        <x:v>Use</x:v>
      </x:c>
      <x:c r="C4" s="16" t="str">
        <x:v>URL</x:v>
      </x:c>
      <x:c r="D4" s="17" t="str">
        <x:v>Accessed</x:v>
      </x:c>
    </x:row>
    <x:row r="5">
      <x:c r="A5" s="37" t="str">
        <x:v>DPDP Act, 2023</x:v>
      </x:c>
      <x:c r="B5" s="38" t="str">
        <x:v>Minor data and targeted-ad controls</x:v>
      </x:c>
      <x:c r="C5" s="38" t="str">
        <x:v>https://www.meity.gov.in/static/uploads/2024/06/2bf1f0e9f04e6fb4f8fef35e82c42aa5.pdf</x:v>
      </x:c>
      <x:c r="D5" s="39" t="str">
        <x:v>2026-09-06</x:v>
      </x:c>
    </x:row>
    <x:row r="6">
      <x:c r="A6" s="40" t="str">
        <x:v>CDSCO Cosmetics Rules</x:v>
      </x:c>
      <x:c r="B6" s="41" t="str">
        <x:v>Claims and cosmetic compliance</x:v>
      </x:c>
      <x:c r="C6" s="41" t="str">
        <x:v>https://cdsco.gov.in/opencms/opencms/en/Cosmetics/cosmetics/</x:v>
      </x:c>
      <x:c r="D6" s="42" t="str">
        <x:v>2026-09-06</x:v>
      </x:c>
    </x:row>
    <x:row r="7">
      <x:c r="A7" s="40" t="str">
        <x:v>ASCI Code</x:v>
      </x:c>
      <x:c r="B7" s="41" t="str">
        <x:v>Truthful advertising and disclosures</x:v>
      </x:c>
      <x:c r="C7" s="41" t="str">
        <x:v>https://www.ascionline.in/the-asci-code/</x:v>
      </x:c>
      <x:c r="D7" s="42" t="str">
        <x:v>2026-09-06</x:v>
      </x:c>
    </x:row>
    <x:row r="8">
      <x:c r="A8" s="40" t="str">
        <x:v>Benzac Fast Fix</x:v>
      </x:c>
      <x:c r="B8" s="41" t="str">
        <x:v>Product proof and use</x:v>
      </x:c>
      <x:c r="C8" s="41" t="str">
        <x:v>https://www.benzac.com/au/product/power-patch</x:v>
      </x:c>
      <x:c r="D8" s="42" t="str">
        <x:v>2026-09-06</x:v>
      </x:c>
    </x:row>
    <x:row r="9">
      <x:c r="A9" s="40" t="str">
        <x:v>Evidence Book</x:v>
      </x:c>
      <x:c r="B9" s="41" t="str">
        <x:v>Market, product and assumption documentation</x:v>
      </x:c>
      <x:c r="C9" s="41" t="str">
        <x:v>Included in submission ZIP</x:v>
      </x:c>
      <x:c r="D9" s="42" t="str">
        <x:v>2026-09-06</x:v>
      </x:c>
    </x:row>
    <x:row r="10">
      <x:c r="A10" s="43" t="str">
        <x:v>Team case model</x:v>
      </x:c>
      <x:c r="B10" s="44" t="str">
        <x:v>All budgets, targets and timing</x:v>
      </x:c>
      <x:c r="C10" s="44" t="str">
        <x:v>Internal case assumption</x:v>
      </x:c>
      <x:c r="D10" s="45" t="str">
        <x:v>2026-09-06</x:v>
      </x:c>
    </x:row>
    <x:row r="14">
      <x:c r="A14" s="60" t="str">
        <x:v>Lifeless Strategists | Galderma case concept | Model date: 06 Sep 2026 | Blue = input | Green = linked formula | Black = calculation</x:v>
      </x:c>
      <x:c r="B14" s="60" t="str">
        <x:v>Lifeless Strategists | Galderma case concept | Model date: 06 Sep 2026 | Blue = input | Green = linked formula | Black = calculation</x:v>
      </x:c>
      <x:c r="C14" s="60" t="str">
        <x:v>Lifeless Strategists | Galderma case concept | Model date: 06 Sep 2026 | Blue = input | Green = linked formula | Black = calculation</x:v>
      </x:c>
      <x:c r="D14" s="60" t="str">
        <x:v>Lifeless Strategists | Galderma case concept | Model date: 06 Sep 2026 | Blue = input | Green = linked formula | Black = calculation</x:v>
      </x:c>
    </x:row>
  </x:sheetData>
  <x:mergeCells>
    <x:mergeCell ref="A1:D1"/>
    <x:mergeCell ref="A2:D2"/>
    <x:mergeCell ref="A14:D14"/>
  </x:mergeCells>
  <x:pageMargins left="0.7" right="0.7" top="0.75" bottom="0.75" header="0.3" footer="0.3"/>
</x:worksheet>
</file>