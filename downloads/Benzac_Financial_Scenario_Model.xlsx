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6054d0c47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1c911db43b4fe9"/>
    <x:sheet xmlns:r="http://schemas.openxmlformats.org/officeDocument/2006/relationships" name="Assumptions" sheetId="2" r:id="R38268190cb934b98"/>
    <x:sheet xmlns:r="http://schemas.openxmlformats.org/officeDocument/2006/relationships" name="Revenue Model" sheetId="3" r:id="Rad60369249064b32"/>
    <x:sheet xmlns:r="http://schemas.openxmlformats.org/officeDocument/2006/relationships" name="Product Economics" sheetId="4" r:id="Ree36ecb3ae5a4dca"/>
    <x:sheet xmlns:r="http://schemas.openxmlformats.org/officeDocument/2006/relationships" name="Scenarios" sheetId="5" r:id="Rb2863b0ae257449f"/>
    <x:sheet xmlns:r="http://schemas.openxmlformats.org/officeDocument/2006/relationships" name="Checks" sheetId="6" r:id="R728f58dd9c6e4098"/>
    <x:sheet xmlns:r="http://schemas.openxmlformats.org/officeDocument/2006/relationships" name="Sources" sheetId="7" r:id="R84e92cf56f5341df"/>
  </x:sheets>
</x:workbook>
</file>

<file path=xl/comments1.xml><?xml version="1.0" encoding="utf-8"?>
<x:comments xmlns:x="http://schemas.openxmlformats.org/spreadsheetml/2006/main">
  <x:authors>
    <x:author>tc={69EFFAED-E75E-474F-B31D-6BD4BF8EEAF8}</x:author>
    <x:author>tc={AFFB84C9-AA68-46CB-8E55-6D558138EBE8}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Year 1 active-user target from the proposed rollout path. Editable input.</x:t>
        </x:r>
      </x:text>
    </x:comment>
    <x:comment ref="D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 case uses 17.5% routine users, displayed as approximately 18% in the deck.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₹#,##0"/>
    <x:numFmt numFmtId="202" formatCode="₹#,##0;[Red](₹#,##0);-"/>
    <x:numFmt numFmtId="203" formatCode="#,##0"/>
    <x:numFmt numFmtId="204" formatCode="₹#,##0.0"/>
    <x:numFmt numFmtId="205" formatCode="0.0&quot; Cr&quot;"/>
    <x:numFmt numFmtId="206" formatCode="0.00&quot; Mn&quot;"/>
    <x:numFmt numFmtId="207" formatCode="0.0"/>
  </x:numFmts>
  <x:fonts count="14">
    <x:font>
      <x:sz val="11"/>
      <x:name val="Carlito"/>
    </x:font>
    <x:font>
      <x:b/>
      <x:sz val="20"/>
      <x:color rgb="FFFFFFFF"/>
      <x:name val="Carlito"/>
    </x:font>
    <x:font>
      <x:b/>
      <x:sz val="10"/>
      <x:color rgb="FF6C2A8D"/>
      <x:name val="Carlito"/>
    </x:font>
    <x:font>
      <x:b/>
      <x:sz val="9"/>
      <x:color rgb="FFFFFFFF"/>
      <x:name val="Carlito"/>
    </x:font>
    <x:font>
      <x:sz val="9"/>
      <x:color rgb="FF20202A"/>
      <x:name val="Carlito"/>
    </x:font>
    <x:font>
      <x:sz val="9"/>
      <x:color rgb="FF0000FF"/>
      <x:name val="Carlito"/>
    </x:font>
    <x:font>
      <x:i/>
      <x:sz val="8"/>
      <x:color rgb="FF6D6A78"/>
      <x:name val="Carlito"/>
    </x:font>
    <x:font>
      <x:sz val="9"/>
      <x:color rgb="FF008000"/>
      <x:name val="Carlito"/>
    </x:font>
    <x:font>
      <x:sz val="9"/>
      <x:color rgb="FF000000"/>
      <x:name val="Carlito"/>
    </x:font>
    <x:font>
      <x:b/>
      <x:sz val="10"/>
      <x:color rgb="FFFFFFFF"/>
      <x:name val="Carlito"/>
    </x:font>
    <x:font>
      <x:b/>
      <x:sz val="13"/>
      <x:color rgb="FFFFFFFF"/>
      <x:name val="Carlito"/>
    </x:font>
    <x:font>
      <x:b/>
      <x:sz val="22"/>
      <x:color rgb="FF6C2A8D"/>
      <x:name val="Carlito"/>
    </x:font>
    <x:font>
      <x:b/>
      <x:sz val="11"/>
      <x:color rgb="FFFFFFFF"/>
      <x:name val="Carlito"/>
    </x:font>
    <x:font>
      <x:b/>
      <x:sz val="10"/>
      <x:color rgb="FF2720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7204D"/>
      </x:patternFill>
    </x:fill>
    <x:fill>
      <x:patternFill patternType="solid">
        <x:fgColor rgb="FFEFE5F5"/>
      </x:patternFill>
    </x:fill>
    <x:fill>
      <x:patternFill patternType="solid">
        <x:fgColor rgb="FF6C2A8D"/>
      </x:patternFill>
    </x:fill>
    <x:fill>
      <x:patternFill patternType="solid">
        <x:fgColor rgb="FFFFF2A8"/>
      </x:patternFill>
    </x:fill>
    <x:fill>
      <x:patternFill patternType="solid">
        <x:fgColor rgb="FFF8F5FA"/>
      </x:patternFill>
    </x:fill>
  </x:fills>
  <x:borders count="31">
    <x:border/>
    <x:border>
      <x:right style="thin">
        <x:color rgb="FFC9B8D2"/>
      </x:right>
    </x:border>
    <x:border>
      <x:left style="thin">
        <x:color rgb="FFC9B8D2"/>
      </x:left>
      <x:right style="thin">
        <x:color rgb="FFC9B8D2"/>
      </x:right>
    </x:border>
    <x:border>
      <x:left style="thin">
        <x:color rgb="FFC9B8D2"/>
      </x:left>
    </x:border>
    <x:border>
      <x:right style="thin">
        <x:color rgb="FFE2D9E7"/>
      </x:right>
      <x:bottom style="thin">
        <x:color rgb="FFE2D9E7"/>
      </x:bottom>
    </x:border>
    <x:border>
      <x:left style="thin">
        <x:color rgb="FFE2D9E7"/>
      </x:left>
      <x:right style="thin">
        <x:color rgb="FFE2D9E7"/>
      </x:right>
      <x:bottom style="thin">
        <x:color rgb="FFE2D9E7"/>
      </x:bottom>
    </x:border>
    <x:border>
      <x:left style="thin">
        <x:color rgb="FFE2D9E7"/>
      </x:left>
      <x:bottom style="thin">
        <x:color rgb="FFE2D9E7"/>
      </x:bottom>
    </x:border>
    <x:border>
      <x:right style="thin">
        <x:color rgb="FFE2D9E7"/>
      </x:right>
      <x:top style="thin">
        <x:color rgb="FFE2D9E7"/>
      </x:top>
      <x:bottom style="thin">
        <x:color rgb="FFE2D9E7"/>
      </x:bottom>
    </x:border>
    <x:border>
      <x:left style="thin">
        <x:color rgb="FFE2D9E7"/>
      </x:left>
      <x:right style="thin">
        <x:color rgb="FFE2D9E7"/>
      </x:right>
      <x:top style="thin">
        <x:color rgb="FFE2D9E7"/>
      </x:top>
      <x:bottom style="thin">
        <x:color rgb="FFE2D9E7"/>
      </x:bottom>
    </x:border>
    <x:border>
      <x:left style="thin">
        <x:color rgb="FFE2D9E7"/>
      </x:left>
      <x:top style="thin">
        <x:color rgb="FFE2D9E7"/>
      </x:top>
      <x:bottom style="thin">
        <x:color rgb="FFE2D9E7"/>
      </x:bottom>
    </x:border>
    <x:border>
      <x:right style="thin">
        <x:color rgb="FFE2D9E7"/>
      </x:right>
      <x:top style="thin">
        <x:color rgb="FFE2D9E7"/>
      </x:top>
    </x:border>
    <x:border>
      <x:left style="thin">
        <x:color rgb="FFE2D9E7"/>
      </x:left>
      <x:right style="thin">
        <x:color rgb="FFE2D9E7"/>
      </x:right>
      <x:top style="thin">
        <x:color rgb="FFE2D9E7"/>
      </x:top>
    </x:border>
    <x:border>
      <x:left style="thin">
        <x:color rgb="FFE2D9E7"/>
      </x:left>
      <x:top style="thin">
        <x:color rgb="FFE2D9E7"/>
      </x:top>
    </x:border>
    <x:border>
      <x:left style="thin">
        <x:color rgb="FFCBB876"/>
      </x:left>
      <x:right style="thin">
        <x:color rgb="FFE2D9E7"/>
      </x:right>
      <x:top style="thin">
        <x:color rgb="FFCBB876"/>
      </x:top>
      <x:bottom style="thin">
        <x:color rgb="FFE2D9E7"/>
      </x:bottom>
    </x:border>
    <x:border>
      <x:left style="thin">
        <x:color rgb="FFE2D9E7"/>
      </x:left>
      <x:right style="thin">
        <x:color rgb="FFE2D9E7"/>
      </x:right>
      <x:top style="thin">
        <x:color rgb="FFCBB876"/>
      </x:top>
      <x:bottom style="thin">
        <x:color rgb="FFE2D9E7"/>
      </x:bottom>
    </x:border>
    <x:border>
      <x:left style="thin">
        <x:color rgb="FFE2D9E7"/>
      </x:left>
      <x:right style="thin">
        <x:color rgb="FFCBB876"/>
      </x:right>
      <x:top style="thin">
        <x:color rgb="FFCBB876"/>
      </x:top>
      <x:bottom style="thin">
        <x:color rgb="FFE2D9E7"/>
      </x:bottom>
    </x:border>
    <x:border>
      <x:left style="thin">
        <x:color rgb="FFCBB876"/>
      </x:left>
      <x:right style="thin">
        <x:color rgb="FFE2D9E7"/>
      </x:right>
      <x:top style="thin">
        <x:color rgb="FFE2D9E7"/>
      </x:top>
      <x:bottom style="thin">
        <x:color rgb="FFE2D9E7"/>
      </x:bottom>
    </x:border>
    <x:border>
      <x:left style="thin">
        <x:color rgb="FFE2D9E7"/>
      </x:left>
      <x:right style="thin">
        <x:color rgb="FFCBB876"/>
      </x:right>
      <x:top style="thin">
        <x:color rgb="FFE2D9E7"/>
      </x:top>
      <x:bottom style="thin">
        <x:color rgb="FFE2D9E7"/>
      </x:bottom>
    </x:border>
    <x:border>
      <x:left style="thin">
        <x:color rgb="FFCBB876"/>
      </x:left>
      <x:right style="thin">
        <x:color rgb="FFE2D9E7"/>
      </x:right>
      <x:top style="thin">
        <x:color rgb="FFE2D9E7"/>
      </x:top>
      <x:bottom style="thin">
        <x:color rgb="FFCBB876"/>
      </x:bottom>
    </x:border>
    <x:border>
      <x:left style="thin">
        <x:color rgb="FFE2D9E7"/>
      </x:left>
      <x:right style="thin">
        <x:color rgb="FFE2D9E7"/>
      </x:right>
      <x:top style="thin">
        <x:color rgb="FFE2D9E7"/>
      </x:top>
      <x:bottom style="thin">
        <x:color rgb="FFCBB876"/>
      </x:bottom>
    </x:border>
    <x:border>
      <x:left style="thin">
        <x:color rgb="FFE2D9E7"/>
      </x:left>
      <x:right style="thin">
        <x:color rgb="FFCBB876"/>
      </x:right>
      <x:top style="thin">
        <x:color rgb="FFE2D9E7"/>
      </x:top>
      <x:bottom style="thin">
        <x:color rgb="FFCBB876"/>
      </x:bottom>
    </x:border>
    <x:border>
      <x:right style="thin">
        <x:color rgb="FFE2D9E7"/>
      </x:right>
      <x:top style="thin">
        <x:color rgb="FFE2D9E7"/>
      </x:top>
      <x:bottom style="double">
        <x:color rgb="FF27204D"/>
      </x:bottom>
    </x:border>
    <x:border>
      <x:left style="thin">
        <x:color rgb="FFE2D9E7"/>
      </x:left>
      <x:right style="thin">
        <x:color rgb="FFE2D9E7"/>
      </x:right>
      <x:top style="thin">
        <x:color rgb="FFE2D9E7"/>
      </x:top>
      <x:bottom style="double">
        <x:color rgb="FF27204D"/>
      </x:bottom>
    </x:border>
    <x:border>
      <x:left style="thin">
        <x:color rgb="FFD6C8DF"/>
      </x:left>
      <x:top style="thin">
        <x:color rgb="FFD6C8DF"/>
      </x:top>
    </x:border>
    <x:border>
      <x:top style="thin">
        <x:color rgb="FFD6C8DF"/>
      </x:top>
    </x:border>
    <x:border>
      <x:right style="thin">
        <x:color rgb="FFD6C8DF"/>
      </x:right>
      <x:top style="thin">
        <x:color rgb="FFD6C8DF"/>
      </x:top>
    </x:border>
    <x:border>
      <x:left style="thin">
        <x:color rgb="FFD6C8DF"/>
      </x:left>
    </x:border>
    <x:border>
      <x:right style="thin">
        <x:color rgb="FFD6C8DF"/>
      </x:right>
    </x:border>
    <x:border>
      <x:left style="thin">
        <x:color rgb="FFD6C8DF"/>
      </x:left>
      <x:bottom style="thin">
        <x:color rgb="FFD6C8DF"/>
      </x:bottom>
    </x:border>
    <x:border>
      <x:bottom style="thin">
        <x:color rgb="FFD6C8DF"/>
      </x:bottom>
    </x:border>
    <x:border>
      <x:right style="thin">
        <x:color rgb="FFD6C8DF"/>
      </x:right>
      <x:bottom style="thin">
        <x:color rgb="FFD6C8DF"/>
      </x:bottom>
    </x:border>
  </x:borders>
  <x:cellStyleXfs count="1">
    <x:xf numFmtId="0" fontId="0" fillId="0" borderId="0"/>
  </x:cellStyleXfs>
  <x:cellXfs count="1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8" xfId="0" applyNumberFormat="1" applyFont="1" applyFill="1" applyBorder="1" applyAlignment="1">
      <x:alignment vertical="center" wrapText="1"/>
    </x:xf>
    <x:xf numFmtId="0" fontId="5" fillId="5" borderId="19" xfId="0" applyNumberFormat="1" applyFont="1" applyFill="1" applyBorder="1" applyAlignment="1">
      <x:alignment vertical="center" wrapText="1"/>
    </x:xf>
    <x:xf numFmtId="0" fontId="5" fillId="5" borderId="20" xfId="0" applyNumberFormat="1" applyFont="1" applyFill="1" applyBorder="1" applyAlignment="1">
      <x:alignment vertical="center" wrapText="1"/>
    </x:xf>
    <x:xf numFmtId="200" fontId="5" fillId="5" borderId="16" xfId="0" applyNumberFormat="1" applyFont="1" applyFill="1" applyBorder="1" applyAlignment="1">
      <x:alignment vertical="center" wrapText="1"/>
    </x:xf>
    <x:xf numFmtId="200" fontId="5" fillId="5" borderId="8" xfId="0" applyNumberFormat="1" applyFont="1" applyFill="1" applyBorder="1" applyAlignment="1">
      <x:alignment vertical="center" wrapText="1"/>
    </x:xf>
    <x:xf numFmtId="200" fontId="5" fillId="5" borderId="17" xfId="0" applyNumberFormat="1" applyFont="1" applyFill="1" applyBorder="1" applyAlignment="1">
      <x:alignment vertical="center" wrapText="1"/>
    </x:xf>
    <x:xf numFmtId="201" fontId="5" fillId="5" borderId="16" xfId="0" applyNumberFormat="1" applyFont="1" applyFill="1" applyBorder="1" applyAlignment="1">
      <x:alignment vertical="center" wrapText="1"/>
    </x:xf>
    <x:xf numFmtId="201" fontId="5" fillId="5" borderId="8" xfId="0" applyNumberFormat="1" applyFont="1" applyFill="1" applyBorder="1" applyAlignment="1">
      <x:alignment vertical="center" wrapText="1"/>
    </x:xf>
    <x:xf numFmtId="201" fontId="5" fillId="5" borderId="17" xfId="0" applyNumberFormat="1" applyFont="1" applyFill="1" applyBorder="1" applyAlignment="1">
      <x:alignment vertical="center" wrapText="1"/>
    </x:xf>
    <x:xf numFmtId="202" fontId="5" fillId="5" borderId="16" xfId="0" applyNumberFormat="1" applyFont="1" applyFill="1" applyBorder="1" applyAlignment="1">
      <x:alignment vertical="center" wrapText="1"/>
    </x:xf>
    <x:xf numFmtId="202" fontId="5" fillId="5" borderId="8" xfId="0" applyNumberFormat="1" applyFont="1" applyFill="1" applyBorder="1" applyAlignment="1">
      <x:alignment vertical="center" wrapText="1"/>
    </x:xf>
    <x:xf numFmtId="202" fontId="5" fillId="5" borderId="17" xfId="0" applyNumberFormat="1" applyFont="1" applyFill="1" applyBorder="1" applyAlignment="1">
      <x:alignment vertical="center" wrapText="1"/>
    </x:xf>
    <x:xf numFmtId="202" fontId="5" fillId="5" borderId="18" xfId="0" applyNumberFormat="1" applyFont="1" applyFill="1" applyBorder="1" applyAlignment="1">
      <x:alignment vertical="center" wrapText="1"/>
    </x:xf>
    <x:xf numFmtId="202" fontId="5" fillId="5" borderId="19" xfId="0" applyNumberFormat="1" applyFont="1" applyFill="1" applyBorder="1" applyAlignment="1">
      <x:alignment vertical="center" wrapText="1"/>
    </x:xf>
    <x:xf numFmtId="202" fontId="5" fillId="5" borderId="20" xfId="0" applyNumberFormat="1" applyFont="1" applyFill="1" applyBorder="1" applyAlignment="1">
      <x:alignment vertical="center" wrapText="1"/>
    </x:xf>
    <x:xf numFmtId="201" fontId="5" fillId="5" borderId="18" xfId="0" applyNumberFormat="1" applyFont="1" applyFill="1" applyBorder="1" applyAlignment="1">
      <x:alignment vertical="center" wrapText="1"/>
    </x:xf>
    <x:xf numFmtId="201" fontId="5" fillId="5" borderId="19" xfId="0" applyNumberFormat="1" applyFont="1" applyFill="1" applyBorder="1" applyAlignment="1">
      <x:alignment vertical="center" wrapText="1"/>
    </x:xf>
    <x:xf numFmtId="201" fontId="5" fillId="5" borderId="2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203" fontId="8" fillId="0" borderId="8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202" fontId="8" fillId="0" borderId="8" xfId="0" applyNumberFormat="1" applyFont="1" applyFill="1" applyBorder="1" applyAlignment="1">
      <x:alignment vertical="center" wrapText="1"/>
    </x:xf>
    <x:xf numFmtId="202" fontId="8" fillId="0" borderId="11" xfId="0" applyNumberFormat="1" applyFont="1" applyFill="1" applyBorder="1" applyAlignment="1">
      <x:alignment vertical="center" wrapText="1"/>
    </x:xf>
    <x:xf numFmtId="200" fontId="7" fillId="0" borderId="8" xfId="0" applyNumberFormat="1" applyFont="1" applyFill="1" applyBorder="1" applyAlignment="1">
      <x:alignment vertical="center" wrapText="1"/>
    </x:xf>
    <x:xf numFmtId="201" fontId="7" fillId="0" borderId="8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vertical="center" wrapText="1"/>
    </x:xf>
    <x:xf numFmtId="202" fontId="8" fillId="2" borderId="11" xfId="0" applyNumberFormat="1" applyFont="1" applyFill="1" applyBorder="1" applyAlignment="1">
      <x:alignment vertical="center" wrapText="1"/>
    </x:xf>
    <x:xf numFmtId="0" fontId="4" fillId="2" borderId="12" xfId="0" applyNumberFormat="1" applyFont="1" applyFill="1" applyBorder="1" applyAlignment="1">
      <x:alignment vertical="center" wrapText="1"/>
    </x:xf>
    <x:xf numFmtId="0" fontId="9" fillId="2" borderId="10" xfId="0" applyNumberFormat="1" applyFont="1" applyFill="1" applyBorder="1" applyAlignment="1">
      <x:alignment vertical="center" wrapText="1"/>
    </x:xf>
    <x:xf numFmtId="202" fontId="9" fillId="2" borderId="11" xfId="0" applyNumberFormat="1" applyFont="1" applyFill="1" applyBorder="1" applyAlignment="1">
      <x:alignment vertical="center" wrapText="1"/>
    </x:xf>
    <x:xf numFmtId="0" fontId="9" fillId="2" borderId="12" xfId="0" applyNumberFormat="1" applyFont="1" applyFill="1" applyBorder="1" applyAlignment="1">
      <x:alignment vertical="center" wrapText="1"/>
    </x:xf>
    <x:xf numFmtId="0" fontId="9" fillId="2" borderId="21" xfId="0" applyNumberFormat="1" applyFont="1" applyFill="1" applyBorder="1" applyAlignment="1">
      <x:alignment vertical="center" wrapText="1"/>
    </x:xf>
    <x:xf numFmtId="202" fontId="9" fillId="2" borderId="22" xfId="0" applyNumberFormat="1" applyFont="1" applyFill="1" applyBorder="1" applyAlignment="1">
      <x:alignment vertical="center" wrapText="1"/>
    </x:xf>
    <x:xf numFmtId="0" fontId="9" fillId="2" borderId="22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6" xfId="0" applyNumberFormat="1" applyFont="1" applyFill="1" applyBorder="1"/>
    <x:xf numFmtId="201" fontId="4" fillId="0" borderId="9" xfId="0" applyNumberFormat="1" applyFont="1" applyFill="1" applyBorder="1"/>
    <x:xf numFmtId="201" fontId="4" fillId="0" borderId="12" xfId="0" applyNumberFormat="1" applyFont="1" applyFill="1" applyBorder="1"/>
    <x:xf numFmtId="201" fontId="4" fillId="0" borderId="6" xfId="0" applyNumberFormat="1" applyFont="1" applyFill="1" applyBorder="1" applyAlignment="1">
      <x:alignment wrapText="1"/>
    </x:xf>
    <x:xf numFmtId="201" fontId="4" fillId="0" borderId="9" xfId="0" applyNumberFormat="1" applyFont="1" applyFill="1" applyBorder="1" applyAlignment="1">
      <x:alignment wrapText="1"/>
    </x:xf>
    <x:xf numFmtId="201" fontId="4" fillId="0" borderId="12" xfId="0" applyNumberFormat="1" applyFont="1" applyFill="1" applyBorder="1" applyAlignment="1">
      <x:alignment wrapText="1"/>
    </x:xf>
    <x:xf numFmtId="201" fontId="4" fillId="0" borderId="6" xfId="0" applyNumberFormat="1" applyFont="1" applyFill="1" applyBorder="1" applyAlignment="1">
      <x:alignment vertical="center" wrapText="1"/>
    </x:xf>
    <x:xf numFmtId="201" fontId="4" fillId="0" borderId="9" xfId="0" applyNumberFormat="1" applyFont="1" applyFill="1" applyBorder="1" applyAlignment="1">
      <x:alignment vertical="center" wrapText="1"/>
    </x:xf>
    <x:xf numFmtId="201" fontId="4" fillId="0" borderId="12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204" fontId="8" fillId="0" borderId="5" xfId="0" applyNumberFormat="1" applyFont="1" applyFill="1" applyBorder="1" applyAlignment="1">
      <x:alignment vertical="center" wrapText="1"/>
    </x:xf>
    <x:xf numFmtId="204" fontId="8" fillId="0" borderId="8" xfId="0" applyNumberFormat="1" applyFont="1" applyFill="1" applyBorder="1" applyAlignment="1">
      <x:alignment vertical="center" wrapText="1"/>
    </x:xf>
    <x:xf numFmtId="204" fontId="8" fillId="0" borderId="11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200" fontId="8" fillId="0" borderId="6" xfId="0" applyNumberFormat="1" applyFont="1" applyFill="1" applyBorder="1" applyAlignment="1">
      <x:alignment vertical="center" wrapText="1"/>
    </x:xf>
    <x:xf numFmtId="200" fontId="8" fillId="0" borderId="9" xfId="0" applyNumberFormat="1" applyFont="1" applyFill="1" applyBorder="1" applyAlignment="1">
      <x:alignment vertical="center" wrapText="1"/>
    </x:xf>
    <x:xf numFmtId="200" fontId="8" fillId="0" borderId="12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vertical="center" wrapText="1"/>
    </x:xf>
    <x:xf numFmtId="202" fontId="8" fillId="0" borderId="5" xfId="0" applyNumberFormat="1" applyFont="1" applyFill="1" applyBorder="1" applyAlignment="1">
      <x:alignment vertical="center" wrapText="1"/>
    </x:xf>
    <x:xf numFmtId="202" fontId="8" fillId="0" borderId="6" xfId="0" applyNumberFormat="1" applyFont="1" applyFill="1" applyBorder="1" applyAlignment="1">
      <x:alignment vertical="center" wrapText="1"/>
    </x:xf>
    <x:xf numFmtId="202" fontId="8" fillId="0" borderId="9" xfId="0" applyNumberFormat="1" applyFont="1" applyFill="1" applyBorder="1" applyAlignment="1">
      <x:alignment vertical="center" wrapText="1"/>
    </x:xf>
    <x:xf numFmtId="202" fontId="8" fillId="0" borderId="12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vertical="center" wrapText="1"/>
    </x:xf>
    <x:xf numFmtId="200" fontId="7" fillId="0" borderId="11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vertical="center" wrapText="1"/>
    </x:xf>
    <x:xf numFmtId="200" fontId="7" fillId="3" borderId="8" xfId="0" applyNumberFormat="1" applyFont="1" applyFill="1" applyBorder="1" applyAlignment="1">
      <x:alignment vertical="center" wrapText="1"/>
    </x:xf>
    <x:xf numFmtId="202" fontId="8" fillId="3" borderId="8" xfId="0" applyNumberFormat="1" applyFont="1" applyFill="1" applyBorder="1" applyAlignment="1">
      <x:alignment vertical="center" wrapText="1"/>
    </x:xf>
    <x:xf numFmtId="202" fontId="8" fillId="3" borderId="9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7" xfId="0" applyNumberFormat="1" applyFont="1" applyFill="1" applyBorder="1" applyAlignment="1">
      <x:alignment vertical="center" wrapText="1"/>
    </x:xf>
    <x:xf numFmtId="200" fontId="4" fillId="0" borderId="10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1" fontId="4" fillId="0" borderId="11" xfId="0" applyNumberFormat="1" applyFont="1" applyFill="1" applyBorder="1" applyAlignment="1">
      <x:alignment vertical="center" wrapText="1"/>
    </x:xf>
    <x:xf numFmtId="200" fontId="4" fillId="0" borderId="1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23" xfId="0" applyNumberFormat="1" applyFont="1" applyFill="1" applyBorder="1"/>
    <x:xf numFmtId="0" fontId="11" fillId="6" borderId="24" xfId="0" applyNumberFormat="1" applyFont="1" applyFill="1" applyBorder="1"/>
    <x:xf numFmtId="0" fontId="11" fillId="6" borderId="25" xfId="0" applyNumberFormat="1" applyFont="1" applyFill="1" applyBorder="1"/>
    <x:xf numFmtId="0" fontId="11" fillId="6" borderId="26" xfId="0" applyNumberFormat="1" applyFont="1" applyFill="1" applyBorder="1"/>
    <x:xf numFmtId="0" fontId="11" fillId="6" borderId="27" xfId="0" applyNumberFormat="1" applyFont="1" applyFill="1" applyBorder="1"/>
    <x:xf numFmtId="0" fontId="11" fillId="6" borderId="28" xfId="0" applyNumberFormat="1" applyFont="1" applyFill="1" applyBorder="1"/>
    <x:xf numFmtId="0" fontId="11" fillId="6" borderId="29" xfId="0" applyNumberFormat="1" applyFont="1" applyFill="1" applyBorder="1"/>
    <x:xf numFmtId="0" fontId="11" fillId="6" borderId="30" xfId="0" applyNumberFormat="1" applyFont="1" applyFill="1" applyBorder="1"/>
    <x:xf numFmtId="0" fontId="11" fillId="6" borderId="23" xfId="0" applyNumberFormat="1" applyFont="1" applyFill="1" applyBorder="1" applyAlignment="1">
      <x:alignment horizontal="center"/>
    </x:xf>
    <x:xf numFmtId="0" fontId="11" fillId="6" borderId="24" xfId="0" applyNumberFormat="1" applyFont="1" applyFill="1" applyBorder="1" applyAlignment="1">
      <x:alignment horizontal="center"/>
    </x:xf>
    <x:xf numFmtId="0" fontId="11" fillId="6" borderId="25" xfId="0" applyNumberFormat="1" applyFont="1" applyFill="1" applyBorder="1" applyAlignment="1">
      <x:alignment horizontal="center"/>
    </x:xf>
    <x:xf numFmtId="0" fontId="11" fillId="6" borderId="26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/>
    </x:xf>
    <x:xf numFmtId="0" fontId="11" fillId="6" borderId="27" xfId="0" applyNumberFormat="1" applyFont="1" applyFill="1" applyBorder="1" applyAlignment="1">
      <x:alignment horizontal="center"/>
    </x:xf>
    <x:xf numFmtId="0" fontId="11" fillId="6" borderId="28" xfId="0" applyNumberFormat="1" applyFont="1" applyFill="1" applyBorder="1" applyAlignment="1">
      <x:alignment horizontal="center"/>
    </x:xf>
    <x:xf numFmtId="0" fontId="11" fillId="6" borderId="29" xfId="0" applyNumberFormat="1" applyFont="1" applyFill="1" applyBorder="1" applyAlignment="1">
      <x:alignment horizontal="center"/>
    </x:xf>
    <x:xf numFmtId="0" fontId="11" fillId="6" borderId="30" xfId="0" applyNumberFormat="1" applyFont="1" applyFill="1" applyBorder="1" applyAlignment="1">
      <x:alignment horizontal="center"/>
    </x:xf>
    <x:xf numFmtId="0" fontId="11" fillId="6" borderId="23" xfId="0" applyNumberFormat="1" applyFont="1" applyFill="1" applyBorder="1" applyAlignment="1">
      <x:alignment horizontal="center" vertical="center"/>
    </x:xf>
    <x:xf numFmtId="0" fontId="11" fillId="6" borderId="24" xfId="0" applyNumberFormat="1" applyFont="1" applyFill="1" applyBorder="1" applyAlignment="1">
      <x:alignment horizontal="center" vertical="center"/>
    </x:xf>
    <x:xf numFmtId="0" fontId="11" fillId="6" borderId="25" xfId="0" applyNumberFormat="1" applyFont="1" applyFill="1" applyBorder="1" applyAlignment="1">
      <x:alignment horizontal="center" vertical="center"/>
    </x:xf>
    <x:xf numFmtId="0" fontId="11" fillId="6" borderId="26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11" fillId="6" borderId="27" xfId="0" applyNumberFormat="1" applyFont="1" applyFill="1" applyBorder="1" applyAlignment="1">
      <x:alignment horizontal="center" vertical="center"/>
    </x:xf>
    <x:xf numFmtId="0" fontId="11" fillId="6" borderId="28" xfId="0" applyNumberFormat="1" applyFont="1" applyFill="1" applyBorder="1" applyAlignment="1">
      <x:alignment horizontal="center" vertical="center"/>
    </x:xf>
    <x:xf numFmtId="0" fontId="11" fillId="6" borderId="29" xfId="0" applyNumberFormat="1" applyFont="1" applyFill="1" applyBorder="1" applyAlignment="1">
      <x:alignment horizontal="center" vertical="center"/>
    </x:xf>
    <x:xf numFmtId="0" fontId="11" fillId="6" borderId="30" xfId="0" applyNumberFormat="1" applyFont="1" applyFill="1" applyBorder="1" applyAlignment="1">
      <x:alignment horizontal="center" vertical="center"/>
    </x:xf>
    <x:xf numFmtId="205" fontId="11" fillId="6" borderId="23" xfId="0" applyNumberFormat="1" applyFont="1" applyFill="1" applyBorder="1" applyAlignment="1">
      <x:alignment horizontal="center" vertical="center"/>
    </x:xf>
    <x:xf numFmtId="205" fontId="11" fillId="6" borderId="24" xfId="0" applyNumberFormat="1" applyFont="1" applyFill="1" applyBorder="1" applyAlignment="1">
      <x:alignment horizontal="center" vertical="center"/>
    </x:xf>
    <x:xf numFmtId="205" fontId="11" fillId="6" borderId="26" xfId="0" applyNumberFormat="1" applyFont="1" applyFill="1" applyBorder="1" applyAlignment="1">
      <x:alignment horizontal="center" vertical="center"/>
    </x:xf>
    <x:xf numFmtId="205" fontId="11" fillId="6" borderId="0" xfId="0" applyNumberFormat="1" applyFont="1" applyFill="1" applyBorder="1" applyAlignment="1">
      <x:alignment horizontal="center" vertical="center"/>
    </x:xf>
    <x:xf numFmtId="205" fontId="11" fillId="6" borderId="28" xfId="0" applyNumberFormat="1" applyFont="1" applyFill="1" applyBorder="1" applyAlignment="1">
      <x:alignment horizontal="center" vertical="center"/>
    </x:xf>
    <x:xf numFmtId="205" fontId="11" fillId="6" borderId="29" xfId="0" applyNumberFormat="1" applyFont="1" applyFill="1" applyBorder="1" applyAlignment="1">
      <x:alignment horizontal="center" vertical="center"/>
    </x:xf>
    <x:xf numFmtId="206" fontId="11" fillId="6" borderId="24" xfId="0" applyNumberFormat="1" applyFont="1" applyFill="1" applyBorder="1" applyAlignment="1">
      <x:alignment horizontal="center" vertical="center"/>
    </x:xf>
    <x:xf numFmtId="206" fontId="11" fillId="6" borderId="0" xfId="0" applyNumberFormat="1" applyFont="1" applyFill="1" applyBorder="1" applyAlignment="1">
      <x:alignment horizontal="center" vertical="center"/>
    </x:xf>
    <x:xf numFmtId="206" fontId="11" fillId="6" borderId="29" xfId="0" applyNumberFormat="1" applyFont="1" applyFill="1" applyBorder="1" applyAlignment="1">
      <x:alignment horizontal="center" vertical="center"/>
    </x:xf>
    <x:xf numFmtId="200" fontId="11" fillId="6" borderId="24" xfId="0" applyNumberFormat="1" applyFont="1" applyFill="1" applyBorder="1" applyAlignment="1">
      <x:alignment horizontal="center" vertical="center"/>
    </x:xf>
    <x:xf numFmtId="200" fontId="11" fillId="6" borderId="25" xfId="0" applyNumberFormat="1" applyFont="1" applyFill="1" applyBorder="1" applyAlignment="1">
      <x:alignment horizontal="center" vertical="center"/>
    </x:xf>
    <x:xf numFmtId="200" fontId="11" fillId="6" borderId="0" xfId="0" applyNumberFormat="1" applyFont="1" applyFill="1" applyBorder="1" applyAlignment="1">
      <x:alignment horizontal="center" vertical="center"/>
    </x:xf>
    <x:xf numFmtId="200" fontId="11" fillId="6" borderId="27" xfId="0" applyNumberFormat="1" applyFont="1" applyFill="1" applyBorder="1" applyAlignment="1">
      <x:alignment horizontal="center" vertical="center"/>
    </x:xf>
    <x:xf numFmtId="200" fontId="11" fillId="6" borderId="29" xfId="0" applyNumberFormat="1" applyFont="1" applyFill="1" applyBorder="1" applyAlignment="1">
      <x:alignment horizontal="center" vertical="center"/>
    </x:xf>
    <x:xf numFmtId="200" fontId="11" fillId="6" borderId="30" xfId="0" applyNumberFormat="1" applyFont="1" applyFill="1" applyBorder="1" applyAlignment="1">
      <x:alignment horizontal="center" vertical="center"/>
    </x:xf>
    <x:xf numFmtId="207" fontId="4" fillId="0" borderId="6" xfId="0" applyNumberFormat="1" applyFont="1" applyFill="1" applyBorder="1" applyAlignment="1">
      <x:alignment vertical="center" wrapText="1"/>
    </x:xf>
    <x:xf numFmtId="207" fontId="4" fillId="0" borderId="9" xfId="0" applyNumberFormat="1" applyFont="1" applyFill="1" applyBorder="1" applyAlignment="1">
      <x:alignment vertical="center" wrapText="1"/>
    </x:xf>
    <x:xf numFmtId="207" fontId="4" fillId="0" borderId="12" xfId="0" applyNumberFormat="1" applyFont="1" applyFill="1" applyBorder="1" applyAlignment="1">
      <x:alignment vertical="center" wrapText="1"/>
    </x:xf>
    <x:xf numFmtId="203" fontId="4" fillId="0" borderId="5" xfId="0" applyNumberFormat="1" applyFont="1" applyFill="1" applyBorder="1" applyAlignment="1">
      <x:alignment vertical="center" wrapText="1"/>
    </x:xf>
    <x:xf numFmtId="203" fontId="4" fillId="0" borderId="8" xfId="0" applyNumberFormat="1" applyFont="1" applyFill="1" applyBorder="1" applyAlignment="1">
      <x:alignment vertical="center" wrapText="1"/>
    </x:xf>
    <x:xf numFmtId="203" fontId="4" fillId="0" borderId="1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3" fillId="3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2622B"/>
      </x:font>
      <x:fill>
        <x:patternFill patternType="solid">
          <x:bgColor rgb="FFDDF4E4"/>
        </x:patternFill>
      </x:fill>
    </x:dxf>
    <x:dxf>
      <x:font>
        <x:b/>
        <x:color rgb="FF8B1A1A"/>
      </x:font>
      <x:fill>
        <x:patternFill patternType="solid">
          <x:bgColor rgb="FFFF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f6d51a26af4bb9" /><Relationship Type="http://schemas.openxmlformats.org/officeDocument/2006/relationships/theme" Target="/xl/theme/theme1.xml" Id="R52257ea7fe2143c2" /><Relationship Type="http://schemas.openxmlformats.org/officeDocument/2006/relationships/sharedStrings" Target="/xl/sharedStrings.xml" Id="Rb197f230e44a4f9d" /><Relationship Type="http://schemas.openxmlformats.org/officeDocument/2006/relationships/worksheet" Target="/xl/worksheets/sheet1.xml" Id="Rd21c911db43b4fe9" /><Relationship Type="http://schemas.openxmlformats.org/officeDocument/2006/relationships/worksheet" Target="/xl/worksheets/sheet2.xml" Id="R38268190cb934b98" /><Relationship Type="http://schemas.openxmlformats.org/officeDocument/2006/relationships/worksheet" Target="/xl/worksheets/sheet3.xml" Id="Rad60369249064b32" /><Relationship Type="http://schemas.openxmlformats.org/officeDocument/2006/relationships/worksheet" Target="/xl/worksheets/sheet4.xml" Id="Ree36ecb3ae5a4dca" /><Relationship Type="http://schemas.openxmlformats.org/officeDocument/2006/relationships/worksheet" Target="/xl/worksheets/sheet5.xml" Id="Rb2863b0ae257449f" /><Relationship Type="http://schemas.openxmlformats.org/officeDocument/2006/relationships/worksheet" Target="/xl/worksheets/sheet6.xml" Id="R728f58dd9c6e4098" /><Relationship Type="http://schemas.openxmlformats.org/officeDocument/2006/relationships/worksheet" Target="/xl/worksheets/sheet7.xml" Id="R84e92cf56f5341df" /><Relationship Type="http://schemas.microsoft.com/office/2017/10/relationships/person" Target="/xl/persons/person.xml" Id="R3b585485a2c34a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3b653f987b4f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₹101 Cr destination requires both engines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 (₹ Cr)</c:v>
          </c:tx>
          <c:cat>
            <c:strRef>
              <c:f>'Summary'!$A$12:$A$14</c:f>
              <c:strCache>
                <c:ptCount val="0"/>
              </c:strCache>
            </c:strRef>
          </c:cat>
          <c:val>
            <c:numRef>
              <c:f>'Summary'!$B$12:$B$14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3b653f987b4f1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Ishan Marwadya" id="{5B339EE6-6564-4889-A05B-87BA126DE49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9-06T16:00:26.551" personId="{5B339EE6-6564-4889-A05B-87BA126DE499}" id="{69EFFAED-E75E-474F-B31D-6BD4BF8EEAF8}">
    <xltc:text>Assumption: Year 1 active-user target from the proposed rollout path. Editable input.</xltc:text>
  </xltc:threadedComment>
  <xltc:threadedComment ref="D6" dT="2026-09-06T16:00:26.552" personId="{5B339EE6-6564-4889-A05B-87BA126DE499}" id="{AFFB84C9-AA68-46CB-8E55-6D558138EBE8}">
    <xltc:text>Base case uses 17.5% routine users, displayed as approximately 18% in the deck.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7fd2ba07b847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2774497d472435a" /><Relationship Type="http://schemas.openxmlformats.org/officeDocument/2006/relationships/vmlDrawing" Target="/xl/drawings/vmldrawing.vml" Id="R07c3f0bd816d40da" /><Relationship Type="http://schemas.microsoft.com/office/2017/10/relationships/threadedComment" Target="/xl/threadedcomments/threadedcomment.xml" Id="Rc0ad3634f05042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3" t="str">
        <x:v>BENZAC FIRST FIX | ₹101 CR SCENARIO MODEL</x:v>
      </x:c>
      <x:c r="B1" s="3" t="str">
        <x:v>BENZAC FIRST FIX | ₹101 CR SCENARIO MODEL</x:v>
      </x:c>
      <x:c r="C1" s="3" t="str">
        <x:v>BENZAC FIRST FIX | ₹101 CR SCENARIO MODEL</x:v>
      </x:c>
      <x:c r="D1" s="3" t="str">
        <x:v>BENZAC FIRST FIX | ₹101 CR SCENARIO MODEL</x:v>
      </x:c>
      <x:c r="E1" s="3" t="str">
        <x:v>BENZAC FIRST FIX | ₹101 CR SCENARIO MODEL</x:v>
      </x:c>
      <x:c r="F1" s="3" t="str">
        <x:v>BENZAC FIRST FIX | ₹101 CR SCENARIO MODEL</x:v>
      </x:c>
      <x:c r="G1" s="3" t="str">
        <x:v>BENZAC FIRST FIX | ₹101 CR SCENARIO MODEL</x:v>
      </x:c>
      <x:c r="H1" s="3" t="str">
        <x:v>BENZAC FIRST FIX | ₹101 CR SCENARIO MODEL</x:v>
      </x:c>
    </x:row>
    <x:row r="2" ht="24" customHeight="1">
      <x:c r="A2" s="6" t="str">
        <x:v>Editable judge view: reach, routine conversion, basket and portfolio economics.</x:v>
      </x:c>
      <x:c r="B2" s="6" t="str">
        <x:v>Editable judge view: reach, routine conversion, basket and portfolio economics.</x:v>
      </x:c>
      <x:c r="C2" s="6" t="str">
        <x:v>Editable judge view: reach, routine conversion, basket and portfolio economics.</x:v>
      </x:c>
      <x:c r="D2" s="6" t="str">
        <x:v>Editable judge view: reach, routine conversion, basket and portfolio economics.</x:v>
      </x:c>
      <x:c r="E2" s="6" t="str">
        <x:v>Editable judge view: reach, routine conversion, basket and portfolio economics.</x:v>
      </x:c>
      <x:c r="F2" s="6" t="str">
        <x:v>Editable judge view: reach, routine conversion, basket and portfolio economics.</x:v>
      </x:c>
      <x:c r="G2" s="6" t="str">
        <x:v>Editable judge view: reach, routine conversion, basket and portfolio economics.</x:v>
      </x:c>
      <x:c r="H2" s="6" t="str">
        <x:v>Editable judge view: reach, routine conversion, basket and portfolio economics.</x:v>
      </x:c>
    </x:row>
    <x:row r="4" ht="30" customHeight="1">
      <x:c r="A4" s="15" t="str">
        <x:v>YEAR 3 OFFTAKE</x:v>
      </x:c>
      <x:c r="B4" s="17" t="str">
        <x:v>YEAR 3 OFFTAKE</x:v>
      </x:c>
      <x:c r="C4" s="15" t="str">
        <x:v>ACTIVE USERS</x:v>
      </x:c>
      <x:c r="D4" s="17" t="str">
        <x:v>ACTIVE USERS</x:v>
      </x:c>
      <x:c r="E4" s="15" t="str">
        <x:v>ROUTINE USERS</x:v>
      </x:c>
      <x:c r="F4" s="17" t="str">
        <x:v>ROUTINE USERS</x:v>
      </x:c>
      <x:c r="G4" s="15" t="str">
        <x:v>ROUTINE SHARE</x:v>
      </x:c>
      <x:c r="H4" s="17" t="str">
        <x:v>ROUTINE SHARE</x:v>
      </x:c>
    </x:row>
    <x:row r="5">
      <x:c r="A5" s="166" t="n">
        <x:f>'Revenue Model'!D13/10000000</x:f>
        <x:v>101.1</x:v>
      </x:c>
      <x:c r="B5" s="167"/>
      <x:c r="C5" s="172" t="n">
        <x:f>'Revenue Model'!D5/1000000</x:f>
        <x:v>2</x:v>
      </x:c>
      <x:c r="D5" s="172"/>
      <x:c r="E5" s="172" t="n">
        <x:f>'Revenue Model'!D8/1000000</x:f>
        <x:v>0.35</x:v>
      </x:c>
      <x:c r="F5" s="172"/>
      <x:c r="G5" s="175" t="n">
        <x:f>'Revenue Model'!D6</x:f>
        <x:v>0.175</x:v>
      </x:c>
      <x:c r="H5" s="176"/>
    </x:row>
    <x:row r="6">
      <x:c r="A6" s="168"/>
      <x:c r="B6" s="169"/>
      <x:c r="C6" s="173"/>
      <x:c r="D6" s="173"/>
      <x:c r="E6" s="173"/>
      <x:c r="F6" s="173"/>
      <x:c r="G6" s="177"/>
      <x:c r="H6" s="178"/>
    </x:row>
    <x:row r="7">
      <x:c r="A7" s="170"/>
      <x:c r="B7" s="171"/>
      <x:c r="C7" s="174"/>
      <x:c r="D7" s="174"/>
      <x:c r="E7" s="174"/>
      <x:c r="F7" s="174"/>
      <x:c r="G7" s="179"/>
      <x:c r="H7" s="180"/>
    </x:row>
    <x:row r="10" ht="24" customHeight="1">
      <x:c r="A10" s="97" t="str">
        <x:v>REVENUE TRAJECTORY (₹ Cr)</x:v>
      </x:c>
      <x:c r="B10" s="97" t="str">
        <x:v>REVENUE TRAJECTORY (₹ Cr)</x:v>
      </x:c>
      <x:c r="C10" s="97" t="str">
        <x:v>REVENUE TRAJECTORY (₹ Cr)</x:v>
      </x:c>
      <x:c r="D10" s="97" t="str">
        <x:v>REVENUE TRAJECTORY (₹ Cr)</x:v>
      </x:c>
    </x:row>
    <x:row r="11" ht="30" customHeight="1">
      <x:c r="A11" s="15" t="str">
        <x:v>Year</x:v>
      </x:c>
      <x:c r="B11" s="17" t="str">
        <x:v>Revenue (₹ Cr)</x:v>
      </x:c>
    </x:row>
    <x:row r="12">
      <x:c r="A12" s="37" t="str">
        <x:v>Year 1</x:v>
      </x:c>
      <x:c r="B12" s="181" t="n">
        <x:f>'Revenue Model'!B13/10000000</x:f>
        <x:v>17.8875</x:v>
      </x:c>
    </x:row>
    <x:row r="13">
      <x:c r="A13" s="40" t="str">
        <x:v>Year 2</x:v>
      </x:c>
      <x:c r="B13" s="182" t="n">
        <x:f>'Revenue Model'!C13/10000000</x:f>
        <x:v>51.989325</x:v>
      </x:c>
    </x:row>
    <x:row r="14">
      <x:c r="A14" s="43" t="str">
        <x:v>Year 3</x:v>
      </x:c>
      <x:c r="B14" s="183" t="n">
        <x:f>'Revenue Model'!D13/10000000</x:f>
        <x:v>101.1</x:v>
      </x:c>
    </x:row>
    <x:row r="17" ht="24" customHeight="1">
      <x:c r="A17" s="97" t="str">
        <x:v>YEAR 3 RECONCILIATION</x:v>
      </x:c>
      <x:c r="B17" s="97" t="str">
        <x:v>YEAR 3 RECONCILIATION</x:v>
      </x:c>
      <x:c r="C17" s="97" t="str">
        <x:v>YEAR 3 RECONCILIATION</x:v>
      </x:c>
    </x:row>
    <x:row r="18" ht="30" customHeight="1">
      <x:c r="A18" s="15" t="str">
        <x:v>Engine</x:v>
      </x:c>
      <x:c r="B18" s="16" t="str">
        <x:v>Users</x:v>
      </x:c>
      <x:c r="C18" s="17" t="str">
        <x:v>Offtake (₹ Cr)</x:v>
      </x:c>
    </x:row>
    <x:row r="19">
      <x:c r="A19" s="37" t="str">
        <x:v>First Fix</x:v>
      </x:c>
      <x:c r="B19" s="184" t="n">
        <x:f>'Revenue Model'!D7</x:f>
        <x:v>1650000</x:v>
      </x:c>
      <x:c r="C19" s="181" t="n">
        <x:f>'Revenue Model'!D11/10000000</x:f>
        <x:v>64.35</x:v>
      </x:c>
    </x:row>
    <x:row r="20">
      <x:c r="A20" s="40" t="str">
        <x:v>Routine</x:v>
      </x:c>
      <x:c r="B20" s="185" t="n">
        <x:f>'Revenue Model'!D8</x:f>
        <x:v>350000</x:v>
      </x:c>
      <x:c r="C20" s="182" t="n">
        <x:f>'Revenue Model'!D12/10000000</x:f>
        <x:v>36.75</x:v>
      </x:c>
    </x:row>
    <x:row r="21">
      <x:c r="A21" s="43" t="str">
        <x:v>Total</x:v>
      </x:c>
      <x:c r="B21" s="186" t="n">
        <x:f>SUM(B19:B20)</x:f>
        <x:v>2000000</x:v>
      </x:c>
      <x:c r="C21" s="183" t="n">
        <x:f>SUM(C19:C20)</x:f>
        <x:v>101.1</x:v>
      </x:c>
    </x:row>
    <x:row r="24" ht="35" customHeight="1">
      <x:c r="A24" s="189" t="str">
        <x:v>DECISION: NO NATIONAL SCALE UNTIL ≥15% ROUTINE CONVERSION AND POSITIVE ₹99 PACK CONTRIBUTION CLEAR THE PILOT.</x:v>
      </x:c>
      <x:c r="B24" s="189" t="str">
        <x:v>DECISION: NO NATIONAL SCALE UNTIL ≥15% ROUTINE CONVERSION AND POSITIVE ₹99 PACK CONTRIBUTION CLEAR THE PILOT.</x:v>
      </x:c>
      <x:c r="C24" s="189" t="str">
        <x:v>DECISION: NO NATIONAL SCALE UNTIL ≥15% ROUTINE CONVERSION AND POSITIVE ₹99 PACK CONTRIBUTION CLEAR THE PILOT.</x:v>
      </x:c>
      <x:c r="D24" s="189" t="str">
        <x:v>DECISION: NO NATIONAL SCALE UNTIL ≥15% ROUTINE CONVERSION AND POSITIVE ₹99 PACK CONTRIBUTION CLEAR THE PILOT.</x:v>
      </x:c>
      <x:c r="E24" s="189" t="str">
        <x:v>DECISION: NO NATIONAL SCALE UNTIL ≥15% ROUTINE CONVERSION AND POSITIVE ₹99 PACK CONTRIBUTION CLEAR THE PILOT.</x:v>
      </x:c>
      <x:c r="F24" s="189" t="str">
        <x:v>DECISION: NO NATIONAL SCALE UNTIL ≥15% ROUTINE CONVERSION AND POSITIVE ₹99 PACK CONTRIBUTION CLEAR THE PILOT.</x:v>
      </x:c>
      <x:c r="G24" s="189" t="str">
        <x:v>DECISION: NO NATIONAL SCALE UNTIL ≥15% ROUTINE CONVERSION AND POSITIVE ₹99 PACK CONTRIBUTION CLEAR THE PILOT.</x:v>
      </x:c>
      <x:c r="H24" s="189" t="str">
        <x:v>DECISION: NO NATIONAL SCALE UNTIL ≥15% ROUTINE CONVERSION AND POSITIVE ₹99 PACK CONTRIBUTION CLEAR THE PILOT.</x:v>
      </x:c>
    </x:row>
    <x:row r="27">
      <x:c r="A27" s="190" t="str">
        <x:v>Model status</x:v>
      </x:c>
      <x:c r="B27" s="190" t="str">
        <x:f>'Checks'!B13</x:f>
        <x:v>PASS</x:v>
      </x:c>
    </x:row>
    <x:row r="30">
      <x:c r="A30" s="77" t="str">
        <x:v>Lifeless Strategists | Galderma case concept | Model date: 06 Sep 2026 | Blue = input | Green = linked formula | Black = calculation</x:v>
      </x:c>
      <x:c r="B30" s="77" t="str">
        <x:v>Lifeless Strategists | Galderma case concept | Model date: 06 Sep 2026 | Blue = input | Green = linked formula | Black = calculation</x:v>
      </x:c>
      <x:c r="C30" s="77" t="str">
        <x:v>Lifeless Strategists | Galderma case concept | Model date: 06 Sep 2026 | Blue = input | Green = linked formula | Black = calculation</x:v>
      </x:c>
      <x:c r="D30" s="77" t="str">
        <x:v>Lifeless Strategists | Galderma case concept | Model date: 06 Sep 2026 | Blue = input | Green = linked formula | Black = calculation</x:v>
      </x:c>
      <x:c r="E30" s="77" t="str">
        <x:v>Lifeless Strategists | Galderma case concept | Model date: 06 Sep 2026 | Blue = input | Green = linked formula | Black = calculation</x:v>
      </x:c>
      <x:c r="F30" s="77" t="str">
        <x:v>Lifeless Strategists | Galderma case concept | Model date: 06 Sep 2026 | Blue = input | Green = linked formula | Black = calculation</x:v>
      </x:c>
      <x:c r="G30" s="77" t="str">
        <x:v>Lifeless Strategists | Galderma case concept | Model date: 06 Sep 2026 | Blue = input | Green = linked formula | Black = calculation</x:v>
      </x:c>
      <x:c r="H30" s="77" t="str">
        <x:v>Lifeless Strategists | Galderma case concept | Model date: 06 Sep 2026 | Blue = input | Green = linked formula | Black = calculation</x:v>
      </x:c>
    </x:row>
  </x:sheetData>
  <x:mergeCells>
    <x:mergeCell ref="A1:H1"/>
    <x:mergeCell ref="A2:H2"/>
    <x:mergeCell ref="A4:B4"/>
    <x:mergeCell ref="C4:D4"/>
    <x:mergeCell ref="E4:F4"/>
    <x:mergeCell ref="G4:H4"/>
    <x:mergeCell ref="A5:B7"/>
    <x:mergeCell ref="C5:D7"/>
    <x:mergeCell ref="E5:F7"/>
    <x:mergeCell ref="G5:H7"/>
    <x:mergeCell ref="A10:D10"/>
    <x:mergeCell ref="A17:C17"/>
    <x:mergeCell ref="A24:H24"/>
    <x:mergeCell ref="A30:H30"/>
  </x:mergeCells>
  <x:pageMargins left="0.7" right="0.7" top="0.75" bottom="0.75" header="0.3" footer="0.3"/>
  <x:drawing xmlns:r="http://schemas.openxmlformats.org/officeDocument/2006/relationships" r:id="Rd97fd2ba07b8475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35" hidden="0" customWidth="1"/>
  </x:cols>
  <x:sheetData>
    <x:row r="1" ht="34" customHeight="1">
      <x:c r="A1" s="3" t="str">
        <x:v>BENZAC FIRST FIX | ASSUMPTIONS</x:v>
      </x:c>
      <x:c r="B1" s="3" t="str">
        <x:v>BENZAC FIRST FIX | ASSUMPTIONS</x:v>
      </x:c>
      <x:c r="C1" s="3" t="str">
        <x:v>BENZAC FIRST FIX | ASSUMPTIONS</x:v>
      </x:c>
      <x:c r="D1" s="3" t="str">
        <x:v>BENZAC FIRST FIX | ASSUMPTIONS</x:v>
      </x:c>
      <x:c r="E1" s="3" t="str">
        <x:v>BENZAC FIRST FIX | ASSUMPTIONS</x:v>
      </x:c>
      <x:c r="F1" s="3" t="str">
        <x:v>BENZAC FIRST FIX | ASSUMPTIONS</x:v>
      </x:c>
    </x:row>
    <x:row r="2" ht="24" customHeight="1">
      <x:c r="A2" s="6" t="str">
        <x:v>Editable case-model inputs. Consumer offtake, not Galderma net sales.</x:v>
      </x:c>
      <x:c r="B2" s="6" t="str">
        <x:v>Editable case-model inputs. Consumer offtake, not Galderma net sales.</x:v>
      </x:c>
      <x:c r="C2" s="6" t="str">
        <x:v>Editable case-model inputs. Consumer offtake, not Galderma net sales.</x:v>
      </x:c>
      <x:c r="D2" s="6" t="str">
        <x:v>Editable case-model inputs. Consumer offtake, not Galderma net sales.</x:v>
      </x:c>
      <x:c r="E2" s="6" t="str">
        <x:v>Editable case-model inputs. Consumer offtake, not Galderma net sales.</x:v>
      </x:c>
      <x:c r="F2" s="6" t="str">
        <x:v>Editable case-model inputs. Consumer offtake, not Galderma net sales.</x:v>
      </x:c>
    </x:row>
    <x:row r="4" ht="30" customHeight="1">
      <x:c r="A4" s="15" t="str">
        <x:v>Driver</x:v>
      </x:c>
      <x:c r="B4" s="16" t="str">
        <x:v>Year 1</x:v>
      </x:c>
      <x:c r="C4" s="16" t="str">
        <x:v>Year 2</x:v>
      </x:c>
      <x:c r="D4" s="16" t="str">
        <x:v>Year 3</x:v>
      </x:c>
      <x:c r="E4" s="16" t="str">
        <x:v>Unit</x:v>
      </x:c>
      <x:c r="F4" s="17" t="str">
        <x:v>Basis</x:v>
      </x:c>
    </x:row>
    <x:row r="5">
      <x:c r="A5" s="37" t="str">
        <x:v>Active users</x:v>
      </x:c>
      <x:c r="B5" s="52" t="n">
        <x:v>450000</x:v>
      </x:c>
      <x:c r="C5" s="53" t="n">
        <x:v>1137000</x:v>
      </x:c>
      <x:c r="D5" s="54" t="n">
        <x:v>2000000</x:v>
      </x:c>
      <x:c r="E5" s="38" t="str">
        <x:v>users</x:v>
      </x:c>
      <x:c r="F5" s="39" t="str">
        <x:v>Proposed scale path</x:v>
      </x:c>
    </x:row>
    <x:row r="6">
      <x:c r="A6" s="40" t="str">
        <x:v>Routine-user share</x:v>
      </x:c>
      <x:c r="B6" s="60" t="n">
        <x:v>0.15</x:v>
      </x:c>
      <x:c r="C6" s="61" t="n">
        <x:v>0.165</x:v>
      </x:c>
      <x:c r="D6" s="62" t="n">
        <x:v>0.175</x:v>
      </x:c>
      <x:c r="E6" s="41" t="str">
        <x:v>% of active</x:v>
      </x:c>
      <x:c r="F6" s="42" t="str">
        <x:v>Conversion ramp</x:v>
      </x:c>
    </x:row>
    <x:row r="7">
      <x:c r="A7" s="40" t="str">
        <x:v>First-Fix annual basket</x:v>
      </x:c>
      <x:c r="B7" s="63" t="n">
        <x:v>300</x:v>
      </x:c>
      <x:c r="C7" s="64" t="n">
        <x:v>350</x:v>
      </x:c>
      <x:c r="D7" s="65" t="n">
        <x:v>390</x:v>
      </x:c>
      <x:c r="E7" s="41" t="str">
        <x:v>₹ / user</x:v>
      </x:c>
      <x:c r="F7" s="42" t="str">
        <x:v>Patch + Bar blended basket</x:v>
      </x:c>
    </x:row>
    <x:row r="8">
      <x:c r="A8" s="40" t="str">
        <x:v>Routine annual basket / LTV</x:v>
      </x:c>
      <x:c r="B8" s="63" t="n">
        <x:v>950</x:v>
      </x:c>
      <x:c r="C8" s="64" t="n">
        <x:v>1000</x:v>
      </x:c>
      <x:c r="D8" s="65" t="n">
        <x:v>1050</x:v>
      </x:c>
      <x:c r="E8" s="41" t="str">
        <x:v>₹ / user</x:v>
      </x:c>
      <x:c r="F8" s="42" t="str">
        <x:v>Cleanser-led routine incl. Restore</x:v>
      </x:c>
    </x:row>
    <x:row r="9">
      <x:c r="A9" s="40" t="str">
        <x:v>Urban 13-18 target-base proxy</x:v>
      </x:c>
      <x:c r="B9" s="55" t="n">
        <x:v>57000000</x:v>
      </x:c>
      <x:c r="C9" s="50" t="n">
        <x:v>57000000</x:v>
      </x:c>
      <x:c r="D9" s="56" t="n">
        <x:v>57000000</x:v>
      </x:c>
      <x:c r="E9" s="41" t="str">
        <x:v>people</x:v>
      </x:c>
      <x:c r="F9" s="42" t="str">
        <x:v>Demographic planning approximation</x:v>
      </x:c>
    </x:row>
    <x:row r="10">
      <x:c r="A10" s="40" t="str">
        <x:v>Consumer offtake target</x:v>
      </x:c>
      <x:c r="B10" s="66" t="n">
        <x:v>180000000</x:v>
      </x:c>
      <x:c r="C10" s="67" t="n">
        <x:v>520000000</x:v>
      </x:c>
      <x:c r="D10" s="68" t="n">
        <x:v>1011000000</x:v>
      </x:c>
      <x:c r="E10" s="41" t="str">
        <x:v>₹</x:v>
      </x:c>
      <x:c r="F10" s="42" t="str">
        <x:v>Case destination; Y1/Y2 target anchors</x:v>
      </x:c>
    </x:row>
    <x:row r="11">
      <x:c r="A11" s="43" t="str">
        <x:v>A&amp;P + activation</x:v>
      </x:c>
      <x:c r="B11" s="69" t="n">
        <x:v>39000000</x:v>
      </x:c>
      <x:c r="C11" s="70" t="n">
        <x:v>85000000</x:v>
      </x:c>
      <x:c r="D11" s="71" t="n">
        <x:v>145000000</x:v>
      </x:c>
      <x:c r="E11" s="44" t="str">
        <x:v>₹</x:v>
      </x:c>
      <x:c r="F11" s="45" t="str">
        <x:v>Y3 placeholder for scale planning</x:v>
      </x:c>
    </x:row>
    <x:row r="14" ht="30" customHeight="1">
      <x:c r="A14" s="15" t="str">
        <x:v>Scenario driver</x:v>
      </x:c>
      <x:c r="B14" s="16" t="str">
        <x:v>Bear</x:v>
      </x:c>
      <x:c r="C14" s="16" t="str">
        <x:v>Base</x:v>
      </x:c>
      <x:c r="D14" s="16" t="str">
        <x:v>Bull</x:v>
      </x:c>
      <x:c r="E14" s="16" t="str">
        <x:v>Unit</x:v>
      </x:c>
      <x:c r="F14" s="17" t="str">
        <x:v>Decision rule</x:v>
      </x:c>
    </x:row>
    <x:row r="15">
      <x:c r="A15" s="37" t="str">
        <x:v>Y3 active users</x:v>
      </x:c>
      <x:c r="B15" s="52" t="n">
        <x:v>1750000</x:v>
      </x:c>
      <x:c r="C15" s="53" t="n">
        <x:v>2000000</x:v>
      </x:c>
      <x:c r="D15" s="54" t="n">
        <x:v>2250000</x:v>
      </x:c>
      <x:c r="E15" s="38" t="str">
        <x:v>users</x:v>
      </x:c>
      <x:c r="F15" s="39" t="str">
        <x:v>Protect reach engine</x:v>
      </x:c>
    </x:row>
    <x:row r="16">
      <x:c r="A16" s="40" t="str">
        <x:v>Y3 routine share</x:v>
      </x:c>
      <x:c r="B16" s="60" t="n">
        <x:v>0.12</x:v>
      </x:c>
      <x:c r="C16" s="61" t="n">
        <x:v>0.175</x:v>
      </x:c>
      <x:c r="D16" s="62" t="n">
        <x:v>0.24</x:v>
      </x:c>
      <x:c r="E16" s="41" t="str">
        <x:v>% of active</x:v>
      </x:c>
      <x:c r="F16" s="42" t="str">
        <x:v>≥15% at Month 12 to scale</x:v>
      </x:c>
    </x:row>
    <x:row r="17">
      <x:c r="A17" s="40" t="str">
        <x:v>First-Fix basket</x:v>
      </x:c>
      <x:c r="B17" s="63" t="n">
        <x:v>370</x:v>
      </x:c>
      <x:c r="C17" s="64" t="n">
        <x:v>390</x:v>
      </x:c>
      <x:c r="D17" s="65" t="n">
        <x:v>410</x:v>
      </x:c>
      <x:c r="E17" s="41" t="str">
        <x:v>₹ / user</x:v>
      </x:c>
      <x:c r="F17" s="42" t="str">
        <x:v>Test price and repeat</x:v>
      </x:c>
    </x:row>
    <x:row r="18">
      <x:c r="A18" s="43" t="str">
        <x:v>Routine basket</x:v>
      </x:c>
      <x:c r="B18" s="72" t="n">
        <x:v>990</x:v>
      </x:c>
      <x:c r="C18" s="73" t="n">
        <x:v>1050</x:v>
      </x:c>
      <x:c r="D18" s="74" t="n">
        <x:v>1110</x:v>
      </x:c>
      <x:c r="E18" s="44" t="str">
        <x:v>₹ / user</x:v>
      </x:c>
      <x:c r="F18" s="45" t="str">
        <x:v>Test product mix and cadence</x:v>
      </x:c>
    </x:row>
    <x:row r="22">
      <x:c r="A22" s="77" t="str">
        <x:v>Lifeless Strategists | Galderma case concept | Model date: 06 Sep 2026 | Blue = input | Green = linked formula | Black = calculation</x:v>
      </x:c>
      <x:c r="B22" s="77" t="str">
        <x:v>Lifeless Strategists | Galderma case concept | Model date: 06 Sep 2026 | Blue = input | Green = linked formula | Black = calculation</x:v>
      </x:c>
      <x:c r="C22" s="77" t="str">
        <x:v>Lifeless Strategists | Galderma case concept | Model date: 06 Sep 2026 | Blue = input | Green = linked formula | Black = calculation</x:v>
      </x:c>
      <x:c r="D22" s="77" t="str">
        <x:v>Lifeless Strategists | Galderma case concept | Model date: 06 Sep 2026 | Blue = input | Green = linked formula | Black = calculation</x:v>
      </x:c>
      <x:c r="E22" s="77" t="str">
        <x:v>Lifeless Strategists | Galderma case concept | Model date: 06 Sep 2026 | Blue = input | Green = linked formula | Black = calculation</x:v>
      </x:c>
      <x:c r="F22" s="77" t="str">
        <x:v>Lifeless Strategists | Galderma case concept | Model date: 06 Sep 2026 | Blue = input | Green = linked formula | Black = calculation</x:v>
      </x:c>
    </x:row>
  </x:sheetData>
  <x:mergeCells>
    <x:mergeCell ref="A1:F1"/>
    <x:mergeCell ref="A2:F2"/>
    <x:mergeCell ref="A22:F22"/>
  </x:mergeCells>
  <x:pageMargins left="0.7" right="0.7" top="0.75" bottom="0.75" header="0.3" footer="0.3"/>
  <x:legacyDrawing xmlns:r="http://schemas.openxmlformats.org/officeDocument/2006/relationships" r:id="R07c3f0bd816d40d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</x:cols>
  <x:sheetData>
    <x:row r="1" ht="34" customHeight="1">
      <x:c r="A1" s="3" t="str">
        <x:v>BENZAC FIRST FIX | REVENUE MODEL</x:v>
      </x:c>
      <x:c r="B1" s="3" t="str">
        <x:v>BENZAC FIRST FIX | REVENUE MODEL</x:v>
      </x:c>
      <x:c r="C1" s="3" t="str">
        <x:v>BENZAC FIRST FIX | REVENUE MODEL</x:v>
      </x:c>
      <x:c r="D1" s="3" t="str">
        <x:v>BENZAC FIRST FIX | REVENUE MODEL</x:v>
      </x:c>
      <x:c r="E1" s="3" t="str">
        <x:v>BENZAC FIRST FIX | REVENUE MODEL</x:v>
      </x:c>
    </x:row>
    <x:row r="2" ht="24" customHeight="1">
      <x:c r="A2" s="6" t="str">
        <x:v>Two engines: First Fix creates reach; routine conversion takes the franchise past ₹100 Cr.</x:v>
      </x:c>
      <x:c r="B2" s="6" t="str">
        <x:v>Two engines: First Fix creates reach; routine conversion takes the franchise past ₹100 Cr.</x:v>
      </x:c>
      <x:c r="C2" s="6" t="str">
        <x:v>Two engines: First Fix creates reach; routine conversion takes the franchise past ₹100 Cr.</x:v>
      </x:c>
      <x:c r="D2" s="6" t="str">
        <x:v>Two engines: First Fix creates reach; routine conversion takes the franchise past ₹100 Cr.</x:v>
      </x:c>
      <x:c r="E2" s="6" t="str">
        <x:v>Two engines: First Fix creates reach; routine conversion takes the franchise past ₹100 Cr.</x:v>
      </x:c>
    </x:row>
    <x:row r="4" ht="30" customHeight="1">
      <x:c r="A4" s="15" t="str">
        <x:v>Metric</x:v>
      </x:c>
      <x:c r="B4" s="16" t="str">
        <x:v>Year 1</x:v>
      </x:c>
      <x:c r="C4" s="16" t="str">
        <x:v>Year 2</x:v>
      </x:c>
      <x:c r="D4" s="16" t="str">
        <x:v>Year 3</x:v>
      </x:c>
      <x:c r="E4" s="17" t="str">
        <x:v>Unit</x:v>
      </x:c>
    </x:row>
    <x:row r="5">
      <x:c r="A5" s="37" t="str">
        <x:v>Active users</x:v>
      </x:c>
      <x:c r="B5" s="78" t="n">
        <x:f>'Assumptions'!B5</x:f>
        <x:v>450000</x:v>
      </x:c>
      <x:c r="C5" s="78" t="n">
        <x:f>'Assumptions'!C5</x:f>
        <x:v>1137000</x:v>
      </x:c>
      <x:c r="D5" s="78" t="n">
        <x:f>'Assumptions'!D5</x:f>
        <x:v>2000000</x:v>
      </x:c>
      <x:c r="E5" s="39" t="str">
        <x:v>users</x:v>
      </x:c>
    </x:row>
    <x:row r="6">
      <x:c r="A6" s="40" t="str">
        <x:v>Routine-user share</x:v>
      </x:c>
      <x:c r="B6" s="85" t="n">
        <x:f>'Assumptions'!B6</x:f>
        <x:v>0.15</x:v>
      </x:c>
      <x:c r="C6" s="85" t="n">
        <x:f>'Assumptions'!C6</x:f>
        <x:v>0.165</x:v>
      </x:c>
      <x:c r="D6" s="85" t="n">
        <x:f>'Assumptions'!D6</x:f>
        <x:v>0.175</x:v>
      </x:c>
      <x:c r="E6" s="42" t="str">
        <x:v>%</x:v>
      </x:c>
    </x:row>
    <x:row r="7">
      <x:c r="A7" s="40" t="str">
        <x:v>First-Fix users</x:v>
      </x:c>
      <x:c r="B7" s="81" t="n">
        <x:f>B5*(1-B6)</x:f>
        <x:v>382500</x:v>
      </x:c>
      <x:c r="C7" s="81" t="n">
        <x:f>C5*(1-C6)</x:f>
        <x:v>949395</x:v>
      </x:c>
      <x:c r="D7" s="81" t="n">
        <x:f>D5*(1-D6)</x:f>
        <x:v>1650000</x:v>
      </x:c>
      <x:c r="E7" s="42" t="str">
        <x:v>users</x:v>
      </x:c>
    </x:row>
    <x:row r="8">
      <x:c r="A8" s="40" t="str">
        <x:v>Routine users</x:v>
      </x:c>
      <x:c r="B8" s="81" t="n">
        <x:f>B5*B6</x:f>
        <x:v>67500</x:v>
      </x:c>
      <x:c r="C8" s="81" t="n">
        <x:f>C5*C6</x:f>
        <x:v>187605</x:v>
      </x:c>
      <x:c r="D8" s="81" t="n">
        <x:f>D5*D6</x:f>
        <x:v>350000</x:v>
      </x:c>
      <x:c r="E8" s="42" t="str">
        <x:v>users</x:v>
      </x:c>
    </x:row>
    <x:row r="9">
      <x:c r="A9" s="40" t="str">
        <x:v>First-Fix annual basket</x:v>
      </x:c>
      <x:c r="B9" s="86" t="n">
        <x:f>'Assumptions'!B7</x:f>
        <x:v>300</x:v>
      </x:c>
      <x:c r="C9" s="86" t="n">
        <x:f>'Assumptions'!C7</x:f>
        <x:v>350</x:v>
      </x:c>
      <x:c r="D9" s="86" t="n">
        <x:f>'Assumptions'!D7</x:f>
        <x:v>390</x:v>
      </x:c>
      <x:c r="E9" s="42" t="str">
        <x:v>₹ / user</x:v>
      </x:c>
    </x:row>
    <x:row r="10">
      <x:c r="A10" s="40" t="str">
        <x:v>Routine annual basket</x:v>
      </x:c>
      <x:c r="B10" s="86" t="n">
        <x:f>'Assumptions'!B8</x:f>
        <x:v>950</x:v>
      </x:c>
      <x:c r="C10" s="86" t="n">
        <x:f>'Assumptions'!C8</x:f>
        <x:v>1000</x:v>
      </x:c>
      <x:c r="D10" s="86" t="n">
        <x:f>'Assumptions'!D8</x:f>
        <x:v>1050</x:v>
      </x:c>
      <x:c r="E10" s="42" t="str">
        <x:v>₹ / user</x:v>
      </x:c>
    </x:row>
    <x:row r="11">
      <x:c r="A11" s="40" t="str">
        <x:v>First-Fix offtake</x:v>
      </x:c>
      <x:c r="B11" s="83" t="n">
        <x:f>B7*B9</x:f>
        <x:v>114750000</x:v>
      </x:c>
      <x:c r="C11" s="83" t="n">
        <x:f>C7*C9</x:f>
        <x:v>332288250</x:v>
      </x:c>
      <x:c r="D11" s="83" t="n">
        <x:f>D7*D9</x:f>
        <x:v>643500000</x:v>
      </x:c>
      <x:c r="E11" s="42" t="str">
        <x:v>₹</x:v>
      </x:c>
    </x:row>
    <x:row r="12">
      <x:c r="A12" s="40" t="str">
        <x:v>Routine offtake</x:v>
      </x:c>
      <x:c r="B12" s="83" t="n">
        <x:f>B8*B10</x:f>
        <x:v>64125000</x:v>
      </x:c>
      <x:c r="C12" s="83" t="n">
        <x:f>C8*C10</x:f>
        <x:v>187605000</x:v>
      </x:c>
      <x:c r="D12" s="83" t="n">
        <x:f>D8*D10</x:f>
        <x:v>367500000</x:v>
      </x:c>
      <x:c r="E12" s="42" t="str">
        <x:v>₹</x:v>
      </x:c>
    </x:row>
    <x:row r="13">
      <x:c r="A13" s="93" t="str">
        <x:v>Total consumer offtake</x:v>
      </x:c>
      <x:c r="B13" s="94" t="n">
        <x:f>SUM(B11:B12)</x:f>
        <x:v>178875000</x:v>
      </x:c>
      <x:c r="C13" s="94" t="n">
        <x:f>SUM(C11:C12)</x:f>
        <x:v>519893250</x:v>
      </x:c>
      <x:c r="D13" s="94" t="n">
        <x:f>SUM(D11:D12)</x:f>
        <x:v>1011000000</x:v>
      </x:c>
      <x:c r="E13" s="95" t="str">
        <x:v>₹</x:v>
      </x:c>
    </x:row>
    <x:row r="16" ht="24" customHeight="1">
      <x:c r="A16" s="97" t="str">
        <x:v>KEY RECONCILIATION</x:v>
      </x:c>
      <x:c r="B16" s="97" t="str">
        <x:v>KEY RECONCILIATION</x:v>
      </x:c>
      <x:c r="C16" s="97" t="str">
        <x:v>KEY RECONCILIATION</x:v>
      </x:c>
      <x:c r="D16" s="97" t="str">
        <x:v>KEY RECONCILIATION</x:v>
      </x:c>
      <x:c r="E16" s="97" t="str">
        <x:v>KEY RECONCILIATION</x:v>
      </x:c>
    </x:row>
    <x:row r="17">
      <x:c r="A17" s="37" t="str">
        <x:v>Year 3 First-Fix engine</x:v>
      </x:c>
      <x:c r="B17" s="106" t="n">
        <x:f>D11</x:f>
        <x:v>643500000</x:v>
      </x:c>
      <x:c r="C17" t="str"/>
      <x:c r="D17" t="str"/>
      <x:c r="E17" t="str"/>
    </x:row>
    <x:row r="18">
      <x:c r="A18" s="40" t="str">
        <x:v>Year 3 routine engine</x:v>
      </x:c>
      <x:c r="B18" s="107" t="n">
        <x:f>D12</x:f>
        <x:v>367500000</x:v>
      </x:c>
      <x:c r="C18" t="str"/>
      <x:c r="D18" t="str"/>
      <x:c r="E18" t="str"/>
    </x:row>
    <x:row r="19">
      <x:c r="A19" s="43" t="str">
        <x:v>Year 3 total</x:v>
      </x:c>
      <x:c r="B19" s="108" t="n">
        <x:f>D13</x:f>
        <x:v>1011000000</x:v>
      </x:c>
      <x:c r="C19" t="str"/>
      <x:c r="D19" t="str"/>
      <x:c r="E19" t="str"/>
    </x:row>
    <x:row r="23">
      <x:c r="A23" s="77" t="str">
        <x:v>Lifeless Strategists | Galderma case concept | Model date: 06 Sep 2026 | Blue = input | Green = linked formula | Black = calculation</x:v>
      </x:c>
      <x:c r="B23" s="77" t="str">
        <x:v>Lifeless Strategists | Galderma case concept | Model date: 06 Sep 2026 | Blue = input | Green = linked formula | Black = calculation</x:v>
      </x:c>
      <x:c r="C23" s="77" t="str">
        <x:v>Lifeless Strategists | Galderma case concept | Model date: 06 Sep 2026 | Blue = input | Green = linked formula | Black = calculation</x:v>
      </x:c>
      <x:c r="D23" s="77" t="str">
        <x:v>Lifeless Strategists | Galderma case concept | Model date: 06 Sep 2026 | Blue = input | Green = linked formula | Black = calculation</x:v>
      </x:c>
      <x:c r="E23" s="77" t="str">
        <x:v>Lifeless Strategists | Galderma case concept | Model date: 06 Sep 2026 | Blue = input | Green = linked formula | Black = calculation</x:v>
      </x:c>
    </x:row>
  </x:sheetData>
  <x:mergeCells>
    <x:mergeCell ref="A1:E1"/>
    <x:mergeCell ref="A2:E2"/>
    <x:mergeCell ref="A16:E16"/>
    <x:mergeCell ref="A23:E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3" hidden="0" customWidth="1"/>
    <x:col min="4" max="4" width="16" hidden="0" customWidth="1"/>
    <x:col min="5" max="5" width="17" hidden="0" customWidth="1"/>
    <x:col min="6" max="6" width="16" hidden="0" customWidth="1"/>
    <x:col min="7" max="7" width="20" hidden="0" customWidth="1"/>
    <x:col min="8" max="8" width="15" hidden="0" customWidth="1"/>
  </x:cols>
  <x:sheetData>
    <x:row r="1" ht="34" customHeight="1">
      <x:c r="A1" s="3" t="str">
        <x:v>BENZAC FIRST FIX | PRODUCT ECONOMICS</x:v>
      </x:c>
      <x:c r="B1" s="3" t="str">
        <x:v>BENZAC FIRST FIX | PRODUCT ECONOMICS</x:v>
      </x:c>
      <x:c r="C1" s="3" t="str">
        <x:v>BENZAC FIRST FIX | PRODUCT ECONOMICS</x:v>
      </x:c>
      <x:c r="D1" s="3" t="str">
        <x:v>BENZAC FIRST FIX | PRODUCT ECONOMICS</x:v>
      </x:c>
      <x:c r="E1" s="3" t="str">
        <x:v>BENZAC FIRST FIX | PRODUCT ECONOMICS</x:v>
      </x:c>
      <x:c r="F1" s="3" t="str">
        <x:v>BENZAC FIRST FIX | PRODUCT ECONOMICS</x:v>
      </x:c>
      <x:c r="G1" s="3" t="str">
        <x:v>BENZAC FIRST FIX | PRODUCT ECONOMICS</x:v>
      </x:c>
      <x:c r="H1" s="3" t="str">
        <x:v>BENZAC FIRST FIX | PRODUCT ECONOMICS</x:v>
      </x:c>
    </x:row>
    <x:row r="2" ht="24" customHeight="1">
      <x:c r="A2" s="6" t="str">
        <x:v>Illustrative unit economics requiring Galderma cost and trade validation.</x:v>
      </x:c>
      <x:c r="B2" s="6" t="str">
        <x:v>Illustrative unit economics requiring Galderma cost and trade validation.</x:v>
      </x:c>
      <x:c r="C2" s="6" t="str">
        <x:v>Illustrative unit economics requiring Galderma cost and trade validation.</x:v>
      </x:c>
      <x:c r="D2" s="6" t="str">
        <x:v>Illustrative unit economics requiring Galderma cost and trade validation.</x:v>
      </x:c>
      <x:c r="E2" s="6" t="str">
        <x:v>Illustrative unit economics requiring Galderma cost and trade validation.</x:v>
      </x:c>
      <x:c r="F2" s="6" t="str">
        <x:v>Illustrative unit economics requiring Galderma cost and trade validation.</x:v>
      </x:c>
      <x:c r="G2" s="6" t="str">
        <x:v>Illustrative unit economics requiring Galderma cost and trade validation.</x:v>
      </x:c>
      <x:c r="H2" s="6" t="str">
        <x:v>Illustrative unit economics requiring Galderma cost and trade validation.</x:v>
      </x:c>
    </x:row>
    <x:row r="4" ht="30" customHeight="1">
      <x:c r="A4" s="15" t="str">
        <x:v>Product</x:v>
      </x:c>
      <x:c r="B4" s="16" t="str">
        <x:v>Role</x:v>
      </x:c>
      <x:c r="C4" s="16" t="str">
        <x:v>MRP (₹)</x:v>
      </x:c>
      <x:c r="D4" s="16" t="str">
        <x:v>Net realization</x:v>
      </x:c>
      <x:c r="E4" s="16" t="str">
        <x:v>COGS / unit (₹)</x:v>
      </x:c>
      <x:c r="F4" s="16" t="str">
        <x:v>Net revenue (₹)</x:v>
      </x:c>
      <x:c r="G4" s="16" t="str">
        <x:v>Gross contribution (₹)</x:v>
      </x:c>
      <x:c r="H4" s="17" t="str">
        <x:v>Gross margin</x:v>
      </x:c>
    </x:row>
    <x:row r="5">
      <x:c r="A5" s="37" t="str">
        <x:v>First Fix 6</x:v>
      </x:c>
      <x:c r="B5" s="38" t="str">
        <x:v>Hook</x:v>
      </x:c>
      <x:c r="C5" s="52" t="n">
        <x:v>99</x:v>
      </x:c>
      <x:c r="D5" s="53" t="n">
        <x:v>0.7</x:v>
      </x:c>
      <x:c r="E5" s="54" t="n">
        <x:v>28</x:v>
      </x:c>
      <x:c r="F5" s="110" t="n">
        <x:f>C5*D5</x:f>
        <x:v>69.3</x:v>
      </x:c>
      <x:c r="G5" s="110" t="n">
        <x:f>F5-E5</x:f>
        <x:v>41.3</x:v>
      </x:c>
      <x:c r="H5" s="116" t="n">
        <x:f>G5/F5</x:f>
        <x:v>0.5959595959595959</x:v>
      </x:c>
    </x:row>
    <x:row r="6">
      <x:c r="A6" s="40" t="str">
        <x:v>Bar for Acne</x:v>
      </x:c>
      <x:c r="B6" s="41" t="str">
        <x:v>Habit</x:v>
      </x:c>
      <x:c r="C6" s="55" t="n">
        <x:v>149</x:v>
      </x:c>
      <x:c r="D6" s="50" t="n">
        <x:v>0.72</x:v>
      </x:c>
      <x:c r="E6" s="56" t="n">
        <x:v>35</x:v>
      </x:c>
      <x:c r="F6" s="111" t="n">
        <x:f>C6*D6</x:f>
        <x:v>107.28</x:v>
      </x:c>
      <x:c r="G6" s="111" t="n">
        <x:f>F6-E6</x:f>
        <x:v>72.28</x:v>
      </x:c>
      <x:c r="H6" s="117" t="n">
        <x:f>G6/F6</x:f>
        <x:v>0.6737509321401939</x:v>
      </x:c>
    </x:row>
    <x:row r="7">
      <x:c r="A7" s="40" t="str">
        <x:v>Foaming Cleanser</x:v>
      </x:c>
      <x:c r="B7" s="41" t="str">
        <x:v>Routine</x:v>
      </x:c>
      <x:c r="C7" s="55" t="n">
        <x:v>449</x:v>
      </x:c>
      <x:c r="D7" s="50" t="n">
        <x:v>0.72</x:v>
      </x:c>
      <x:c r="E7" s="56" t="n">
        <x:v>110</x:v>
      </x:c>
      <x:c r="F7" s="111" t="n">
        <x:f>C7*D7</x:f>
        <x:v>323.28</x:v>
      </x:c>
      <x:c r="G7" s="111" t="n">
        <x:f>F7-E7</x:f>
        <x:v>213.27999999999997</x:v>
      </x:c>
      <x:c r="H7" s="117" t="n">
        <x:f>G7/F7</x:f>
        <x:v>0.6597376886909181</x:v>
      </x:c>
    </x:row>
    <x:row r="8">
      <x:c r="A8" s="43" t="str">
        <x:v>Skin Restore</x:v>
      </x:c>
      <x:c r="B8" s="44" t="str">
        <x:v>Retain</x:v>
      </x:c>
      <x:c r="C8" s="57" t="n">
        <x:v>299</x:v>
      </x:c>
      <x:c r="D8" s="58" t="n">
        <x:v>0.7</x:v>
      </x:c>
      <x:c r="E8" s="59" t="n">
        <x:v>68</x:v>
      </x:c>
      <x:c r="F8" s="112" t="n">
        <x:f>C8*D8</x:f>
        <x:v>209.29999999999998</x:v>
      </x:c>
      <x:c r="G8" s="112" t="n">
        <x:f>F8-E8</x:f>
        <x:v>141.29999999999998</x:v>
      </x:c>
      <x:c r="H8" s="118" t="n">
        <x:f>G8/F8</x:f>
        <x:v>0.6751075011944577</x:v>
      </x:c>
    </x:row>
    <x:row r="11" ht="24" customHeight="1">
      <x:c r="A11" s="97" t="str">
        <x:v>ECONOMIC INTERPRETATION</x:v>
      </x:c>
      <x:c r="B11" s="97" t="str">
        <x:v>ECONOMIC INTERPRETATION</x:v>
      </x:c>
      <x:c r="C11" s="97" t="str">
        <x:v>ECONOMIC INTERPRETATION</x:v>
      </x:c>
      <x:c r="D11" s="97" t="str">
        <x:v>ECONOMIC INTERPRETATION</x:v>
      </x:c>
      <x:c r="E11" s="97" t="str">
        <x:v>ECONOMIC INTERPRETATION</x:v>
      </x:c>
      <x:c r="F11" s="97" t="str">
        <x:v>ECONOMIC INTERPRETATION</x:v>
      </x:c>
      <x:c r="G11" s="97" t="str">
        <x:v>ECONOMIC INTERPRETATION</x:v>
      </x:c>
      <x:c r="H11" s="97" t="str">
        <x:v>ECONOMIC INTERPRETATION</x:v>
      </x:c>
    </x:row>
    <x:row r="12">
      <x:c r="A12" s="37" t="str">
        <x:v>Price architecture</x:v>
      </x:c>
      <x:c r="B12" s="38" t="str">
        <x:v>₹99 trial removes the ₹400+ permission barrier while protecting the core pack.</x:v>
      </x:c>
      <x:c r="C12" s="38" t="str"/>
      <x:c r="D12" s="38" t="str"/>
      <x:c r="E12" s="38" t="str"/>
      <x:c r="F12" s="38" t="str"/>
      <x:c r="G12" s="38" t="str"/>
      <x:c r="H12" s="39" t="str"/>
    </x:row>
    <x:row r="13">
      <x:c r="A13" s="40" t="str">
        <x:v>Portfolio logic</x:v>
      </x:c>
      <x:c r="B13" s="41" t="str">
        <x:v>Patch and Bar create reach; Cleanser and Restore lift annual basket and repeat.</x:v>
      </x:c>
      <x:c r="C13" s="41" t="str"/>
      <x:c r="D13" s="41" t="str"/>
      <x:c r="E13" s="41" t="str"/>
      <x:c r="F13" s="41" t="str"/>
      <x:c r="G13" s="41" t="str"/>
      <x:c r="H13" s="42" t="str"/>
    </x:row>
    <x:row r="14">
      <x:c r="A14" s="40" t="str">
        <x:v>Validation gate</x:v>
      </x:c>
      <x:c r="B14" s="41" t="str">
        <x:v>Do not national-scale until pack contribution is positive after actual COGS, trade and fulfilment.</x:v>
      </x:c>
      <x:c r="C14" s="41" t="str"/>
      <x:c r="D14" s="41" t="str"/>
      <x:c r="E14" s="41" t="str"/>
      <x:c r="F14" s="41" t="str"/>
      <x:c r="G14" s="41" t="str"/>
      <x:c r="H14" s="42" t="str"/>
    </x:row>
    <x:row r="15">
      <x:c r="A15" s="43" t="str">
        <x:v>Fallback cell</x:v>
      </x:c>
      <x:c r="B15" s="44" t="str">
        <x:v>If ₹99 is uneconomic, test ₹119 / ₹129 or use the six-pack selectively for trial.</x:v>
      </x:c>
      <x:c r="C15" s="44" t="str"/>
      <x:c r="D15" s="44" t="str"/>
      <x:c r="E15" s="44" t="str"/>
      <x:c r="F15" s="44" t="str"/>
      <x:c r="G15" s="44" t="str"/>
      <x:c r="H15" s="45" t="str"/>
    </x:row>
    <x:row r="19">
      <x:c r="A19" s="77" t="str">
        <x:v>Lifeless Strategists | Galderma case concept | Model date: 06 Sep 2026 | Blue = input | Green = linked formula | Black = calculation</x:v>
      </x:c>
      <x:c r="B19" s="77" t="str">
        <x:v>Lifeless Strategists | Galderma case concept | Model date: 06 Sep 2026 | Blue = input | Green = linked formula | Black = calculation</x:v>
      </x:c>
      <x:c r="C19" s="77" t="str">
        <x:v>Lifeless Strategists | Galderma case concept | Model date: 06 Sep 2026 | Blue = input | Green = linked formula | Black = calculation</x:v>
      </x:c>
      <x:c r="D19" s="77" t="str">
        <x:v>Lifeless Strategists | Galderma case concept | Model date: 06 Sep 2026 | Blue = input | Green = linked formula | Black = calculation</x:v>
      </x:c>
      <x:c r="E19" s="77" t="str">
        <x:v>Lifeless Strategists | Galderma case concept | Model date: 06 Sep 2026 | Blue = input | Green = linked formula | Black = calculation</x:v>
      </x:c>
      <x:c r="F19" s="77" t="str">
        <x:v>Lifeless Strategists | Galderma case concept | Model date: 06 Sep 2026 | Blue = input | Green = linked formula | Black = calculation</x:v>
      </x:c>
      <x:c r="G19" s="77" t="str">
        <x:v>Lifeless Strategists | Galderma case concept | Model date: 06 Sep 2026 | Blue = input | Green = linked formula | Black = calculation</x:v>
      </x:c>
      <x:c r="H19" s="77" t="str">
        <x:v>Lifeless Strategists | Galderma case concept | Model date: 06 Sep 2026 | Blue = input | Green = linked formula | Black = calculation</x:v>
      </x:c>
    </x:row>
  </x:sheetData>
  <x:mergeCells>
    <x:mergeCell ref="A1:H1"/>
    <x:mergeCell ref="A2:H2"/>
    <x:mergeCell ref="A11:H11"/>
    <x:mergeCell ref="B12:H12"/>
    <x:mergeCell ref="B13:H13"/>
    <x:mergeCell ref="B14:H14"/>
    <x:mergeCell ref="B15:H15"/>
    <x:mergeCell ref="A19:H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19" hidden="0" customWidth="1"/>
    <x:col min="6" max="6" width="21" hidden="0" customWidth="1"/>
    <x:col min="7" max="7" width="20" hidden="0" customWidth="1"/>
  </x:cols>
  <x:sheetData>
    <x:row r="1" ht="34" customHeight="1">
      <x:c r="A1" s="3" t="str">
        <x:v>BENZAC FIRST FIX | SCENARIO MODEL</x:v>
      </x:c>
      <x:c r="B1" s="3" t="str">
        <x:v>BENZAC FIRST FIX | SCENARIO MODEL</x:v>
      </x:c>
      <x:c r="C1" s="3" t="str">
        <x:v>BENZAC FIRST FIX | SCENARIO MODEL</x:v>
      </x:c>
      <x:c r="D1" s="3" t="str">
        <x:v>BENZAC FIRST FIX | SCENARIO MODEL</x:v>
      </x:c>
      <x:c r="E1" s="3" t="str">
        <x:v>BENZAC FIRST FIX | SCENARIO MODEL</x:v>
      </x:c>
      <x:c r="F1" s="3" t="str">
        <x:v>BENZAC FIRST FIX | SCENARIO MODEL</x:v>
      </x:c>
      <x:c r="G1" s="3" t="str">
        <x:v>BENZAC FIRST FIX | SCENARIO MODEL</x:v>
      </x:c>
    </x:row>
    <x:row r="2" ht="24" customHeight="1">
      <x:c r="A2" s="6" t="str">
        <x:v>Change the four drivers on Assumptions to test reach, conversion and basket risk.</x:v>
      </x:c>
      <x:c r="B2" s="6" t="str">
        <x:v>Change the four drivers on Assumptions to test reach, conversion and basket risk.</x:v>
      </x:c>
      <x:c r="C2" s="6" t="str">
        <x:v>Change the four drivers on Assumptions to test reach, conversion and basket risk.</x:v>
      </x:c>
      <x:c r="D2" s="6" t="str">
        <x:v>Change the four drivers on Assumptions to test reach, conversion and basket risk.</x:v>
      </x:c>
      <x:c r="E2" s="6" t="str">
        <x:v>Change the four drivers on Assumptions to test reach, conversion and basket risk.</x:v>
      </x:c>
      <x:c r="F2" s="6" t="str">
        <x:v>Change the four drivers on Assumptions to test reach, conversion and basket risk.</x:v>
      </x:c>
      <x:c r="G2" s="6" t="str">
        <x:v>Change the four drivers on Assumptions to test reach, conversion and basket risk.</x:v>
      </x:c>
    </x:row>
    <x:row r="4" ht="30" customHeight="1">
      <x:c r="A4" s="15" t="str">
        <x:v>Scenario</x:v>
      </x:c>
      <x:c r="B4" s="16" t="str">
        <x:v>Active users</x:v>
      </x:c>
      <x:c r="C4" s="16" t="str">
        <x:v>Routine share</x:v>
      </x:c>
      <x:c r="D4" s="16" t="str">
        <x:v>First-Fix basket</x:v>
      </x:c>
      <x:c r="E4" s="16" t="str">
        <x:v>Routine basket</x:v>
      </x:c>
      <x:c r="F4" s="16" t="str">
        <x:v>Consumer offtake</x:v>
      </x:c>
      <x:c r="G4" s="17" t="str">
        <x:v>Vs ₹101.1 Cr</x:v>
      </x:c>
    </x:row>
    <x:row r="5">
      <x:c r="A5" s="37" t="str">
        <x:v>Bear</x:v>
      </x:c>
      <x:c r="B5" s="78" t="n">
        <x:f>'Assumptions'!B15</x:f>
        <x:v>1750000</x:v>
      </x:c>
      <x:c r="C5" s="124" t="n">
        <x:f>'Assumptions'!B16</x:f>
        <x:v>0.12</x:v>
      </x:c>
      <x:c r="D5" s="78" t="n">
        <x:f>'Assumptions'!B17</x:f>
        <x:v>370</x:v>
      </x:c>
      <x:c r="E5" s="78" t="n">
        <x:f>'Assumptions'!B18</x:f>
        <x:v>990</x:v>
      </x:c>
      <x:c r="F5" s="120" t="n">
        <x:f>B5*((1-C5)*D5+C5*E5)</x:f>
        <x:v>777700000.0000001</x:v>
      </x:c>
      <x:c r="G5" s="121" t="n">
        <x:f>F5-'Assumptions'!D10</x:f>
        <x:v>-233299999.99999988</x:v>
      </x:c>
    </x:row>
    <x:row r="6">
      <x:c r="A6" s="126" t="str">
        <x:v>Base</x:v>
      </x:c>
      <x:c r="B6" s="127" t="n">
        <x:f>'Assumptions'!C15</x:f>
        <x:v>2000000</x:v>
      </x:c>
      <x:c r="C6" s="128" t="n">
        <x:f>'Assumptions'!C16</x:f>
        <x:v>0.175</x:v>
      </x:c>
      <x:c r="D6" s="127" t="n">
        <x:f>'Assumptions'!C17</x:f>
        <x:v>390</x:v>
      </x:c>
      <x:c r="E6" s="127" t="n">
        <x:f>'Assumptions'!C18</x:f>
        <x:v>1050</x:v>
      </x:c>
      <x:c r="F6" s="129" t="n">
        <x:f>B6*((1-C6)*D6+C6*E6)</x:f>
        <x:v>1011000000</x:v>
      </x:c>
      <x:c r="G6" s="130" t="n">
        <x:f>F6-'Assumptions'!D10</x:f>
        <x:v>0</x:v>
      </x:c>
    </x:row>
    <x:row r="7">
      <x:c r="A7" s="43" t="str">
        <x:v>Bull</x:v>
      </x:c>
      <x:c r="B7" s="119" t="n">
        <x:f>'Assumptions'!D15</x:f>
        <x:v>2250000</x:v>
      </x:c>
      <x:c r="C7" s="125" t="n">
        <x:f>'Assumptions'!D16</x:f>
        <x:v>0.24</x:v>
      </x:c>
      <x:c r="D7" s="119" t="n">
        <x:f>'Assumptions'!D17</x:f>
        <x:v>410</x:v>
      </x:c>
      <x:c r="E7" s="119" t="n">
        <x:f>'Assumptions'!D18</x:f>
        <x:v>1110</x:v>
      </x:c>
      <x:c r="F7" s="84" t="n">
        <x:f>B7*((1-C7)*D7+C7*E7)</x:f>
        <x:v>1300500000</x:v>
      </x:c>
      <x:c r="G7" s="123" t="n">
        <x:f>F7-'Assumptions'!D10</x:f>
        <x:v>289500000</x:v>
      </x:c>
    </x:row>
    <x:row r="10" ht="24" customHeight="1">
      <x:c r="A10" s="97" t="str">
        <x:v>ROUTINE-SHARE SENSITIVITY AT 2.0 MN ACTIVE USERS</x:v>
      </x:c>
      <x:c r="B10" s="97" t="str">
        <x:v>ROUTINE-SHARE SENSITIVITY AT 2.0 MN ACTIVE USERS</x:v>
      </x:c>
      <x:c r="C10" s="97" t="str">
        <x:v>ROUTINE-SHARE SENSITIVITY AT 2.0 MN ACTIVE USERS</x:v>
      </x:c>
      <x:c r="D10" s="97" t="str">
        <x:v>ROUTINE-SHARE SENSITIVITY AT 2.0 MN ACTIVE USERS</x:v>
      </x:c>
      <x:c r="E10" s="97" t="str">
        <x:v>ROUTINE-SHARE SENSITIVITY AT 2.0 MN ACTIVE USERS</x:v>
      </x:c>
      <x:c r="F10" s="97" t="str">
        <x:v>ROUTINE-SHARE SENSITIVITY AT 2.0 MN ACTIVE USERS</x:v>
      </x:c>
      <x:c r="G10" s="97" t="str">
        <x:v>ROUTINE-SHARE SENSITIVITY AT 2.0 MN ACTIVE USERS</x:v>
      </x:c>
    </x:row>
    <x:row r="11" ht="30" customHeight="1">
      <x:c r="A11" s="15" t="str">
        <x:v>Routine share</x:v>
      </x:c>
      <x:c r="B11" s="16" t="str">
        <x:v>Y3 offtake</x:v>
      </x:c>
      <x:c r="C11" s="17" t="str">
        <x:v>Decision</x:v>
      </x:c>
    </x:row>
    <x:row r="12">
      <x:c r="A12" s="131" t="n">
        <x:v>0.12</x:v>
      </x:c>
      <x:c r="B12" s="134" t="n">
        <x:f>'Assumptions'!D5*((1-A12)*'Assumptions'!D7+A12*'Assumptions'!D8)</x:f>
        <x:v>938400000</x:v>
      </x:c>
      <x:c r="C12" s="39" t="str">
        <x:v>Below ₹100 Cr</x:v>
      </x:c>
    </x:row>
    <x:row r="13">
      <x:c r="A13" s="132" t="n">
        <x:v>0.175</x:v>
      </x:c>
      <x:c r="B13" s="135" t="n">
        <x:f>'Assumptions'!D6*((1-A13)*'Assumptions'!D8+A13*'Assumptions'!D9)</x:f>
        <x:v>1745776.59375</x:v>
      </x:c>
      <x:c r="C13" s="42" t="str">
        <x:v>Base case</x:v>
      </x:c>
    </x:row>
    <x:row r="14">
      <x:c r="A14" s="133" t="n">
        <x:v>0.24</x:v>
      </x:c>
      <x:c r="B14" s="136" t="n">
        <x:f>'Assumptions'!D7*((1-A14)*'Assumptions'!D9+A14*'Assumptions'!D10)</x:f>
        <x:v>111524400000</x:v>
      </x:c>
      <x:c r="C14" s="45" t="str">
        <x:v>Upside</x:v>
      </x:c>
    </x:row>
    <x:row r="18">
      <x:c r="A18" s="77" t="str">
        <x:v>Lifeless Strategists | Galderma case concept | Model date: 06 Sep 2026 | Blue = input | Green = linked formula | Black = calculation</x:v>
      </x:c>
      <x:c r="B18" s="77" t="str">
        <x:v>Lifeless Strategists | Galderma case concept | Model date: 06 Sep 2026 | Blue = input | Green = linked formula | Black = calculation</x:v>
      </x:c>
      <x:c r="C18" s="77" t="str">
        <x:v>Lifeless Strategists | Galderma case concept | Model date: 06 Sep 2026 | Blue = input | Green = linked formula | Black = calculation</x:v>
      </x:c>
      <x:c r="D18" s="77" t="str">
        <x:v>Lifeless Strategists | Galderma case concept | Model date: 06 Sep 2026 | Blue = input | Green = linked formula | Black = calculation</x:v>
      </x:c>
      <x:c r="E18" s="77" t="str">
        <x:v>Lifeless Strategists | Galderma case concept | Model date: 06 Sep 2026 | Blue = input | Green = linked formula | Black = calculation</x:v>
      </x:c>
      <x:c r="F18" s="77" t="str">
        <x:v>Lifeless Strategists | Galderma case concept | Model date: 06 Sep 2026 | Blue = input | Green = linked formula | Black = calculation</x:v>
      </x:c>
      <x:c r="G18" s="77" t="str">
        <x:v>Lifeless Strategists | Galderma case concept | Model date: 06 Sep 2026 | Blue = input | Green = linked formula | Black = calculation</x:v>
      </x:c>
    </x:row>
  </x:sheetData>
  <x:mergeCells>
    <x:mergeCell ref="A1:G1"/>
    <x:mergeCell ref="A2:G2"/>
    <x:mergeCell ref="A10:G10"/>
    <x:mergeCell ref="A18:G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13" hidden="0" customWidth="1"/>
    <x:col min="7" max="7" width="27" hidden="0" customWidth="1"/>
  </x:cols>
  <x:sheetData>
    <x:row r="1" ht="34" customHeight="1">
      <x:c r="A1" s="3" t="str">
        <x:v>BENZAC FIRST FIX | MODEL CHECKS</x:v>
      </x:c>
      <x:c r="B1" s="3" t="str">
        <x:v>BENZAC FIRST FIX | MODEL CHECKS</x:v>
      </x:c>
      <x:c r="C1" s="3" t="str">
        <x:v>BENZAC FIRST FIX | MODEL CHECKS</x:v>
      </x:c>
      <x:c r="D1" s="3" t="str">
        <x:v>BENZAC FIRST FIX | MODEL CHECKS</x:v>
      </x:c>
      <x:c r="E1" s="3" t="str">
        <x:v>BENZAC FIRST FIX | MODEL CHECKS</x:v>
      </x:c>
      <x:c r="F1" s="3" t="str">
        <x:v>BENZAC FIRST FIX | MODEL CHECKS</x:v>
      </x:c>
      <x:c r="G1" s="3" t="str">
        <x:v>BENZAC FIRST FIX | MODEL CHECKS</x:v>
      </x:c>
    </x:row>
    <x:row r="2" ht="24" customHeight="1">
      <x:c r="A2" s="6" t="str">
        <x:v>Every critical total and decision gate should reconcile before use.</x:v>
      </x:c>
      <x:c r="B2" s="6" t="str">
        <x:v>Every critical total and decision gate should reconcile before use.</x:v>
      </x:c>
      <x:c r="C2" s="6" t="str">
        <x:v>Every critical total and decision gate should reconcile before use.</x:v>
      </x:c>
      <x:c r="D2" s="6" t="str">
        <x:v>Every critical total and decision gate should reconcile before use.</x:v>
      </x:c>
      <x:c r="E2" s="6" t="str">
        <x:v>Every critical total and decision gate should reconcile before use.</x:v>
      </x:c>
      <x:c r="F2" s="6" t="str">
        <x:v>Every critical total and decision gate should reconcile before use.</x:v>
      </x:c>
      <x:c r="G2" s="6" t="str">
        <x:v>Every critical total and decision gate should reconcile before use.</x:v>
      </x:c>
    </x:row>
    <x:row r="4" ht="30" customHeight="1">
      <x:c r="A4" s="15" t="str">
        <x:v>Check</x:v>
      </x:c>
      <x:c r="B4" s="16" t="str">
        <x:v>Actual</x:v>
      </x:c>
      <x:c r="C4" s="16" t="str">
        <x:v>Expected</x:v>
      </x:c>
      <x:c r="D4" s="16" t="str">
        <x:v>Difference</x:v>
      </x:c>
      <x:c r="E4" s="16" t="str">
        <x:v>Tolerance</x:v>
      </x:c>
      <x:c r="F4" s="16" t="str">
        <x:v>Status</x:v>
      </x:c>
      <x:c r="G4" s="17" t="str">
        <x:v>Where to fix</x:v>
      </x:c>
    </x:row>
    <x:row r="5">
      <x:c r="A5" s="37" t="str">
        <x:v>Y3 offtake reconciliation</x:v>
      </x:c>
      <x:c r="B5" s="120" t="n">
        <x:f>'Revenue Model'!D13</x:f>
        <x:v>1011000000</x:v>
      </x:c>
      <x:c r="C5" s="120" t="n">
        <x:f>'Revenue Model'!D11+'Revenue Model'!D12</x:f>
        <x:v>1011000000</x:v>
      </x:c>
      <x:c r="D5" s="120" t="n">
        <x:f>B5-C5</x:f>
        <x:v>0</x:v>
      </x:c>
      <x:c r="E5" s="120" t="n">
        <x:v>1</x:v>
      </x:c>
      <x:c r="F5" s="38" t="str">
        <x:f>IF(ABS(D5)&lt;=E5,"OK","CHECK")</x:f>
        <x:v>OK</x:v>
      </x:c>
      <x:c r="G5" s="39" t="str">
        <x:v>Revenue Model D11:D13</x:v>
      </x:c>
    </x:row>
    <x:row r="6">
      <x:c r="A6" s="40" t="str">
        <x:v>Y3 user split</x:v>
      </x:c>
      <x:c r="B6" s="83" t="n">
        <x:f>'Revenue Model'!D7+'Revenue Model'!D8</x:f>
        <x:v>2000000</x:v>
      </x:c>
      <x:c r="C6" s="83" t="n">
        <x:f>'Revenue Model'!D5</x:f>
        <x:v>2000000</x:v>
      </x:c>
      <x:c r="D6" s="83" t="n">
        <x:f>B6-C6</x:f>
        <x:v>0</x:v>
      </x:c>
      <x:c r="E6" s="83" t="n">
        <x:v>1</x:v>
      </x:c>
      <x:c r="F6" s="41" t="str">
        <x:f>IF(ABS(D6)&lt;=E6,"OK","CHECK")</x:f>
        <x:v>OK</x:v>
      </x:c>
      <x:c r="G6" s="42" t="str">
        <x:v>Revenue Model D5:D8</x:v>
      </x:c>
    </x:row>
    <x:row r="7">
      <x:c r="A7" s="40" t="str">
        <x:v>Scenario base matches model</x:v>
      </x:c>
      <x:c r="B7" s="83" t="n">
        <x:f>'Scenarios'!F6</x:f>
        <x:v>1011000000</x:v>
      </x:c>
      <x:c r="C7" s="83" t="n">
        <x:f>'Revenue Model'!D13</x:f>
        <x:v>1011000000</x:v>
      </x:c>
      <x:c r="D7" s="83" t="n">
        <x:f>B7-C7</x:f>
        <x:v>0</x:v>
      </x:c>
      <x:c r="E7" s="83" t="n">
        <x:v>1</x:v>
      </x:c>
      <x:c r="F7" s="41" t="str">
        <x:f>IF(ABS(D7)&lt;=E7,"OK","CHECK")</x:f>
        <x:v>OK</x:v>
      </x:c>
      <x:c r="G7" s="42" t="str">
        <x:v>Scenarios row 6</x:v>
      </x:c>
    </x:row>
    <x:row r="8">
      <x:c r="A8" s="40" t="str">
        <x:v>Y1 offtake near target</x:v>
      </x:c>
      <x:c r="B8" s="83" t="n">
        <x:f>'Revenue Model'!B13</x:f>
        <x:v>178875000</x:v>
      </x:c>
      <x:c r="C8" s="83" t="n">
        <x:f>'Assumptions'!B10</x:f>
        <x:v>180000000</x:v>
      </x:c>
      <x:c r="D8" s="83" t="n">
        <x:f>B8-C8</x:f>
        <x:v>-1125000</x:v>
      </x:c>
      <x:c r="E8" s="83" t="n">
        <x:v>5000000</x:v>
      </x:c>
      <x:c r="F8" s="41" t="str">
        <x:f>IF(ABS(D8)&lt;=E8,"OK","CHECK")</x:f>
        <x:v>OK</x:v>
      </x:c>
      <x:c r="G8" s="42" t="str">
        <x:v>Assumptions B5:B10</x:v>
      </x:c>
    </x:row>
    <x:row r="9">
      <x:c r="A9" s="40" t="str">
        <x:v>Y2 offtake near target</x:v>
      </x:c>
      <x:c r="B9" s="83" t="n">
        <x:f>'Revenue Model'!C13</x:f>
        <x:v>519893250</x:v>
      </x:c>
      <x:c r="C9" s="83" t="n">
        <x:f>'Assumptions'!C10</x:f>
        <x:v>520000000</x:v>
      </x:c>
      <x:c r="D9" s="83" t="n">
        <x:f>B9-C9</x:f>
        <x:v>-106750</x:v>
      </x:c>
      <x:c r="E9" s="83" t="n">
        <x:v>10000000</x:v>
      </x:c>
      <x:c r="F9" s="41" t="str">
        <x:f>IF(ABS(D9)&lt;=E9,"OK","CHECK")</x:f>
        <x:v>OK</x:v>
      </x:c>
      <x:c r="G9" s="42" t="str">
        <x:v>Assumptions C5:C10</x:v>
      </x:c>
    </x:row>
    <x:row r="10">
      <x:c r="A10" s="43" t="str">
        <x:v>Routine conversion scale gate</x:v>
      </x:c>
      <x:c r="B10" s="137" t="n">
        <x:f>'Assumptions'!D6</x:f>
        <x:v>0.175</x:v>
      </x:c>
      <x:c r="C10" s="137" t="n">
        <x:v>0.15</x:v>
      </x:c>
      <x:c r="D10" s="137" t="n">
        <x:f>B10-C10</x:f>
        <x:v>0.024999999999999994</x:v>
      </x:c>
      <x:c r="E10" s="44" t="n">
        <x:v>0</x:v>
      </x:c>
      <x:c r="F10" s="44" t="str">
        <x:f>IF(B10&gt;=C10,"OK","CHECK")</x:f>
        <x:v>OK</x:v>
      </x:c>
      <x:c r="G10" s="45" t="str">
        <x:v>Assumptions D6</x:v>
      </x:c>
    </x:row>
    <x:row r="13">
      <x:c r="A13" s="138" t="str">
        <x:v>MODEL STATUS</x:v>
      </x:c>
      <x:c r="B13" s="138" t="str">
        <x:f>IF(COUNTIF(F5:F10,"CHECK")=0,"PASS","FAIL")</x:f>
        <x:v>PASS</x:v>
      </x:c>
    </x:row>
    <x:row r="17">
      <x:c r="A17" s="77" t="str">
        <x:v>Lifeless Strategists | Galderma case concept | Model date: 06 Sep 2026 | Blue = input | Green = linked formula | Black = calculation</x:v>
      </x:c>
      <x:c r="B17" s="77" t="str">
        <x:v>Lifeless Strategists | Galderma case concept | Model date: 06 Sep 2026 | Blue = input | Green = linked formula | Black = calculation</x:v>
      </x:c>
      <x:c r="C17" s="77" t="str">
        <x:v>Lifeless Strategists | Galderma case concept | Model date: 06 Sep 2026 | Blue = input | Green = linked formula | Black = calculation</x:v>
      </x:c>
      <x:c r="D17" s="77" t="str">
        <x:v>Lifeless Strategists | Galderma case concept | Model date: 06 Sep 2026 | Blue = input | Green = linked formula | Black = calculation</x:v>
      </x:c>
      <x:c r="E17" s="77" t="str">
        <x:v>Lifeless Strategists | Galderma case concept | Model date: 06 Sep 2026 | Blue = input | Green = linked formula | Black = calculation</x:v>
      </x:c>
      <x:c r="F17" s="77" t="str">
        <x:v>Lifeless Strategists | Galderma case concept | Model date: 06 Sep 2026 | Blue = input | Green = linked formula | Black = calculation</x:v>
      </x:c>
      <x:c r="G17" s="77" t="str">
        <x:v>Lifeless Strategists | Galderma case concept | Model date: 06 Sep 2026 | Blue = input | Green = linked formula | Black = calculation</x:v>
      </x:c>
    </x:row>
  </x:sheetData>
  <x:mergeCells>
    <x:mergeCell ref="A1:G1"/>
    <x:mergeCell ref="A2:G2"/>
    <x:mergeCell ref="A17:G17"/>
  </x:mergeCells>
  <x:conditionalFormatting sqref="F5:F10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30" hidden="0" customWidth="1"/>
    <x:col min="4" max="4" width="62" hidden="0" customWidth="1"/>
    <x:col min="5" max="5" width="14" hidden="0" customWidth="1"/>
  </x:cols>
  <x:sheetData>
    <x:row r="1" ht="34" customHeight="1">
      <x:c r="A1" s="3" t="str">
        <x:v>BENZAC FIRST FIX | SOURCES</x:v>
      </x:c>
      <x:c r="B1" s="3" t="str">
        <x:v>BENZAC FIRST FIX | SOURCES</x:v>
      </x:c>
      <x:c r="C1" s="3" t="str">
        <x:v>BENZAC FIRST FIX | SOURCES</x:v>
      </x:c>
      <x:c r="D1" s="3" t="str">
        <x:v>BENZAC FIRST FIX | SOURCES</x:v>
      </x:c>
      <x:c r="E1" s="3" t="str">
        <x:v>BENZAC FIRST FIX | SOURCES</x:v>
      </x:c>
    </x:row>
    <x:row r="2" ht="24" customHeight="1">
      <x:c r="A2" s="6" t="str">
        <x:v>Primary and authoritative sources for the live model and deck assumptions.</x:v>
      </x:c>
      <x:c r="B2" s="6" t="str">
        <x:v>Primary and authoritative sources for the live model and deck assumptions.</x:v>
      </x:c>
      <x:c r="C2" s="6" t="str">
        <x:v>Primary and authoritative sources for the live model and deck assumptions.</x:v>
      </x:c>
      <x:c r="D2" s="6" t="str">
        <x:v>Primary and authoritative sources for the live model and deck assumptions.</x:v>
      </x:c>
      <x:c r="E2" s="6" t="str">
        <x:v>Primary and authoritative sources for the live model and deck assumptions.</x:v>
      </x:c>
    </x:row>
    <x:row r="4" ht="30" customHeight="1">
      <x:c r="A4" s="15" t="str">
        <x:v>Source ID</x:v>
      </x:c>
      <x:c r="B4" s="16" t="str">
        <x:v>Item</x:v>
      </x:c>
      <x:c r="C4" s="16" t="str">
        <x:v>Use in model</x:v>
      </x:c>
      <x:c r="D4" s="16" t="str">
        <x:v>URL</x:v>
      </x:c>
      <x:c r="E4" s="17" t="str">
        <x:v>Accessed</x:v>
      </x:c>
    </x:row>
    <x:row r="5">
      <x:c r="A5" s="37" t="str">
        <x:v>S1</x:v>
      </x:c>
      <x:c r="B5" s="38" t="str">
        <x:v>Benzac Power Patch Fast Fix</x:v>
      </x:c>
      <x:c r="C5" s="38" t="str">
        <x:v>Six-hour proof and use boundary</x:v>
      </x:c>
      <x:c r="D5" s="38" t="str">
        <x:v>https://www.benzac.com/au/product/power-patch</x:v>
      </x:c>
      <x:c r="E5" s="39" t="str">
        <x:v>2026-09-06</x:v>
      </x:c>
    </x:row>
    <x:row r="6">
      <x:c r="A6" s="40" t="str">
        <x:v>S2</x:v>
      </x:c>
      <x:c r="B6" s="41" t="str">
        <x:v>Benzac Skin Restore</x:v>
      </x:c>
      <x:c r="C6" s="41" t="str">
        <x:v>Ingredient and spot-type logic</x:v>
      </x:c>
      <x:c r="D6" s="41" t="str">
        <x:v>https://www.benzac.com/au/product/benzac-power-patches-skin-restore</x:v>
      </x:c>
      <x:c r="E6" s="42" t="str">
        <x:v>2026-09-06</x:v>
      </x:c>
    </x:row>
    <x:row r="7">
      <x:c r="A7" s="40" t="str">
        <x:v>S3</x:v>
      </x:c>
      <x:c r="B7" s="41" t="str">
        <x:v>Grand View Research</x:v>
      </x:c>
      <x:c r="C7" s="41" t="str">
        <x:v>India category size and CAGR</x:v>
      </x:c>
      <x:c r="D7" s="41" t="str">
        <x:v>https://www.grandviewresearch.com/horizon/outlook/anti-acne-cosmetics-market/india</x:v>
      </x:c>
      <x:c r="E7" s="42" t="str">
        <x:v>2026-09-06</x:v>
      </x:c>
    </x:row>
    <x:row r="8">
      <x:c r="A8" s="40" t="str">
        <x:v>S4</x:v>
      </x:c>
      <x:c r="B8" s="41" t="str">
        <x:v>UNICEF India</x:v>
      </x:c>
      <x:c r="C8" s="41" t="str">
        <x:v>253 Mn aged 10-19</x:v>
      </x:c>
      <x:c r="D8" s="41" t="str">
        <x:v>https://www.unicef.org/india/what-we-do/adolescent-development-participation</x:v>
      </x:c>
      <x:c r="E8" s="42" t="str">
        <x:v>2026-09-06</x:v>
      </x:c>
    </x:row>
    <x:row r="9">
      <x:c r="A9" s="40" t="str">
        <x:v>S5</x:v>
      </x:c>
      <x:c r="B9" s="41" t="str">
        <x:v>World Bank</x:v>
      </x:c>
      <x:c r="C9" s="41" t="str">
        <x:v>Urban population proxy</x:v>
      </x:c>
      <x:c r="D9" s="41" t="str">
        <x:v>https://data.worldbank.org/indicator/SP.URB.TOTL?locations=IN</x:v>
      </x:c>
      <x:c r="E9" s="42" t="str">
        <x:v>2026-09-06</x:v>
      </x:c>
    </x:row>
    <x:row r="10">
      <x:c r="A10" s="40" t="str">
        <x:v>S6</x:v>
      </x:c>
      <x:c r="B10" s="41" t="str">
        <x:v>DPDP Act, 2023</x:v>
      </x:c>
      <x:c r="C10" s="41" t="str">
        <x:v>Minor data and targeting safeguards</x:v>
      </x:c>
      <x:c r="D10" s="41" t="str">
        <x:v>https://www.meity.gov.in/static/uploads/2024/06/2bf1f0e9f04e6fb4f8fef35e82c42aa5.pdf</x:v>
      </x:c>
      <x:c r="E10" s="42" t="str">
        <x:v>2026-09-06</x:v>
      </x:c>
    </x:row>
    <x:row r="11">
      <x:c r="A11" s="40" t="str">
        <x:v>S7</x:v>
      </x:c>
      <x:c r="B11" s="41" t="str">
        <x:v>CDSCO Cosmetics</x:v>
      </x:c>
      <x:c r="C11" s="41" t="str">
        <x:v>Misleading-claim boundary</x:v>
      </x:c>
      <x:c r="D11" s="41" t="str">
        <x:v>https://cdsco.gov.in/opencms/opencms/en/Cosmetics/cosmetics/</x:v>
      </x:c>
      <x:c r="E11" s="42" t="str">
        <x:v>2026-09-06</x:v>
      </x:c>
    </x:row>
    <x:row r="12">
      <x:c r="A12" s="40" t="str">
        <x:v>S8</x:v>
      </x:c>
      <x:c r="B12" s="41" t="str">
        <x:v>ASCI Code</x:v>
      </x:c>
      <x:c r="C12" s="41" t="str">
        <x:v>Truthfulness and influencer disclosure</x:v>
      </x:c>
      <x:c r="D12" s="41" t="str">
        <x:v>https://www.ascionline.in/the-asci-code/</x:v>
      </x:c>
      <x:c r="E12" s="42" t="str">
        <x:v>2026-09-06</x:v>
      </x:c>
    </x:row>
    <x:row r="13">
      <x:c r="A13" s="43" t="str">
        <x:v>S9</x:v>
      </x:c>
      <x:c r="B13" s="44" t="str">
        <x:v>Team case model</x:v>
      </x:c>
      <x:c r="C13" s="44" t="str">
        <x:v>User, basket, cost and rollout assumptions</x:v>
      </x:c>
      <x:c r="D13" s="44" t="str">
        <x:v>Internal case model</x:v>
      </x:c>
      <x:c r="E13" s="45" t="str">
        <x:v>2026-09-06</x:v>
      </x:c>
    </x:row>
    <x:row r="17">
      <x:c r="A17" s="77" t="str">
        <x:v>Lifeless Strategists | Galderma case concept | Model date: 06 Sep 2026 | Blue = input | Green = linked formula | Black = calculation</x:v>
      </x:c>
      <x:c r="B17" s="77" t="str">
        <x:v>Lifeless Strategists | Galderma case concept | Model date: 06 Sep 2026 | Blue = input | Green = linked formula | Black = calculation</x:v>
      </x:c>
      <x:c r="C17" s="77" t="str">
        <x:v>Lifeless Strategists | Galderma case concept | Model date: 06 Sep 2026 | Blue = input | Green = linked formula | Black = calculation</x:v>
      </x:c>
      <x:c r="D17" s="77" t="str">
        <x:v>Lifeless Strategists | Galderma case concept | Model date: 06 Sep 2026 | Blue = input | Green = linked formula | Black = calculation</x:v>
      </x:c>
      <x:c r="E17" s="77" t="str">
        <x:v>Lifeless Strategists | Galderma case concept | Model date: 06 Sep 2026 | Blue = input | Green = linked formula | Black = calculation</x:v>
      </x:c>
    </x:row>
  </x:sheetData>
  <x:mergeCells>
    <x:mergeCell ref="A1:E1"/>
    <x:mergeCell ref="A2:E2"/>
    <x:mergeCell ref="A17:E17"/>
  </x:mergeCells>
  <x:pageMargins left="0.7" right="0.7" top="0.75" bottom="0.75" header="0.3" footer="0.3"/>
</x:worksheet>
</file>